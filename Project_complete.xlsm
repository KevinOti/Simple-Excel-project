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VIN\Desktop\Project\"/>
    </mc:Choice>
  </mc:AlternateContent>
  <xr:revisionPtr revIDLastSave="0" documentId="13_ncr:1_{845380FD-8385-4A1D-A07A-EF2ED2188E34}" xr6:coauthVersionLast="47" xr6:coauthVersionMax="47" xr10:uidLastSave="{00000000-0000-0000-0000-000000000000}"/>
  <bookViews>
    <workbookView xWindow="-120" yWindow="-120" windowWidth="20730" windowHeight="11160" xr2:uid="{50E7D91F-5355-48DB-9D41-F64B9FC7B892}"/>
  </bookViews>
  <sheets>
    <sheet name="Dashboard" sheetId="2" r:id="rId1"/>
    <sheet name="Calendar" sheetId="1" r:id="rId2"/>
    <sheet name="Activities" sheetId="5" r:id="rId3"/>
    <sheet name="Activities _count" sheetId="7" r:id="rId4"/>
    <sheet name="Calendar_cals" sheetId="3" r:id="rId5"/>
    <sheet name="Categories" sheetId="4" r:id="rId6"/>
    <sheet name="Tasks" sheetId="6" r:id="rId7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3" i="7" l="1"/>
  <c r="T3" i="7" s="1"/>
  <c r="Q3" i="7"/>
  <c r="Q4" i="7"/>
  <c r="Q5" i="7"/>
  <c r="S5" i="7" s="1"/>
  <c r="T5" i="7" s="1"/>
  <c r="Q6" i="7"/>
  <c r="S19" i="7" s="1"/>
  <c r="T19" i="7" s="1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S26" i="7" s="1"/>
  <c r="T26" i="7" s="1"/>
  <c r="Q27" i="7"/>
  <c r="S27" i="7" s="1"/>
  <c r="T27" i="7" s="1"/>
  <c r="Q28" i="7"/>
  <c r="S28" i="7" s="1"/>
  <c r="T28" i="7" s="1"/>
  <c r="Q29" i="7"/>
  <c r="S29" i="7" s="1"/>
  <c r="T29" i="7" s="1"/>
  <c r="Q30" i="7"/>
  <c r="S30" i="7" s="1"/>
  <c r="T30" i="7" s="1"/>
  <c r="Q31" i="7"/>
  <c r="S31" i="7" s="1"/>
  <c r="T31" i="7" s="1"/>
  <c r="Q32" i="7"/>
  <c r="S32" i="7" s="1"/>
  <c r="T32" i="7" s="1"/>
  <c r="Q33" i="7"/>
  <c r="S33" i="7" s="1"/>
  <c r="T33" i="7" s="1"/>
  <c r="Q34" i="7"/>
  <c r="S34" i="7" s="1"/>
  <c r="T34" i="7" s="1"/>
  <c r="Q35" i="7"/>
  <c r="S35" i="7" s="1"/>
  <c r="T35" i="7" s="1"/>
  <c r="Q36" i="7"/>
  <c r="S36" i="7" s="1"/>
  <c r="T36" i="7" s="1"/>
  <c r="Q37" i="7"/>
  <c r="S37" i="7" s="1"/>
  <c r="T37" i="7" s="1"/>
  <c r="Q38" i="7"/>
  <c r="S38" i="7" s="1"/>
  <c r="T38" i="7" s="1"/>
  <c r="Q39" i="7"/>
  <c r="S39" i="7" s="1"/>
  <c r="T39" i="7" s="1"/>
  <c r="Q40" i="7"/>
  <c r="S40" i="7" s="1"/>
  <c r="T40" i="7" s="1"/>
  <c r="Q41" i="7"/>
  <c r="S41" i="7" s="1"/>
  <c r="T41" i="7" s="1"/>
  <c r="Q42" i="7"/>
  <c r="S42" i="7" s="1"/>
  <c r="T42" i="7" s="1"/>
  <c r="Q43" i="7"/>
  <c r="S43" i="7" s="1"/>
  <c r="T43" i="7" s="1"/>
  <c r="Q44" i="7"/>
  <c r="S44" i="7" s="1"/>
  <c r="T44" i="7" s="1"/>
  <c r="Q45" i="7"/>
  <c r="S45" i="7" s="1"/>
  <c r="T45" i="7" s="1"/>
  <c r="Q46" i="7"/>
  <c r="S46" i="7" s="1"/>
  <c r="T46" i="7" s="1"/>
  <c r="Q47" i="7"/>
  <c r="S47" i="7" s="1"/>
  <c r="T47" i="7" s="1"/>
  <c r="Q48" i="7"/>
  <c r="S48" i="7" s="1"/>
  <c r="T48" i="7" s="1"/>
  <c r="Q49" i="7"/>
  <c r="S49" i="7" s="1"/>
  <c r="T49" i="7" s="1"/>
  <c r="Q50" i="7"/>
  <c r="S50" i="7" s="1"/>
  <c r="T50" i="7" s="1"/>
  <c r="Q51" i="7"/>
  <c r="S51" i="7" s="1"/>
  <c r="T51" i="7" s="1"/>
  <c r="Q52" i="7"/>
  <c r="S52" i="7" s="1"/>
  <c r="T52" i="7" s="1"/>
  <c r="Q53" i="7"/>
  <c r="S53" i="7" s="1"/>
  <c r="T53" i="7" s="1"/>
  <c r="Q54" i="7"/>
  <c r="S54" i="7" s="1"/>
  <c r="T54" i="7" s="1"/>
  <c r="Q55" i="7"/>
  <c r="S55" i="7" s="1"/>
  <c r="T55" i="7" s="1"/>
  <c r="Q56" i="7"/>
  <c r="S56" i="7" s="1"/>
  <c r="T56" i="7" s="1"/>
  <c r="Q57" i="7"/>
  <c r="S57" i="7" s="1"/>
  <c r="T57" i="7" s="1"/>
  <c r="Q58" i="7"/>
  <c r="S58" i="7" s="1"/>
  <c r="T58" i="7" s="1"/>
  <c r="Q59" i="7"/>
  <c r="S59" i="7" s="1"/>
  <c r="T59" i="7" s="1"/>
  <c r="Q60" i="7"/>
  <c r="S60" i="7" s="1"/>
  <c r="T60" i="7" s="1"/>
  <c r="Q61" i="7"/>
  <c r="S61" i="7" s="1"/>
  <c r="T61" i="7" s="1"/>
  <c r="Q62" i="7"/>
  <c r="S62" i="7" s="1"/>
  <c r="T62" i="7" s="1"/>
  <c r="Q63" i="7"/>
  <c r="S63" i="7" s="1"/>
  <c r="T63" i="7" s="1"/>
  <c r="Q64" i="7"/>
  <c r="S64" i="7" s="1"/>
  <c r="T64" i="7" s="1"/>
  <c r="Q65" i="7"/>
  <c r="S65" i="7" s="1"/>
  <c r="T65" i="7" s="1"/>
  <c r="Q66" i="7"/>
  <c r="S66" i="7" s="1"/>
  <c r="T66" i="7" s="1"/>
  <c r="Q67" i="7"/>
  <c r="S67" i="7" s="1"/>
  <c r="T67" i="7" s="1"/>
  <c r="Q68" i="7"/>
  <c r="S68" i="7" s="1"/>
  <c r="T68" i="7" s="1"/>
  <c r="Q69" i="7"/>
  <c r="S69" i="7" s="1"/>
  <c r="T69" i="7" s="1"/>
  <c r="Q70" i="7"/>
  <c r="S70" i="7" s="1"/>
  <c r="T70" i="7" s="1"/>
  <c r="Q71" i="7"/>
  <c r="S71" i="7" s="1"/>
  <c r="T71" i="7" s="1"/>
  <c r="Q72" i="7"/>
  <c r="S72" i="7" s="1"/>
  <c r="T72" i="7" s="1"/>
  <c r="Q73" i="7"/>
  <c r="S73" i="7" s="1"/>
  <c r="T73" i="7" s="1"/>
  <c r="Q74" i="7"/>
  <c r="S74" i="7" s="1"/>
  <c r="T74" i="7" s="1"/>
  <c r="Q75" i="7"/>
  <c r="S75" i="7" s="1"/>
  <c r="T75" i="7" s="1"/>
  <c r="Q76" i="7"/>
  <c r="S76" i="7" s="1"/>
  <c r="T76" i="7" s="1"/>
  <c r="Q77" i="7"/>
  <c r="S77" i="7" s="1"/>
  <c r="T77" i="7" s="1"/>
  <c r="Q78" i="7"/>
  <c r="S78" i="7" s="1"/>
  <c r="T78" i="7" s="1"/>
  <c r="Q79" i="7"/>
  <c r="S79" i="7" s="1"/>
  <c r="T79" i="7" s="1"/>
  <c r="Q80" i="7"/>
  <c r="S80" i="7" s="1"/>
  <c r="T80" i="7" s="1"/>
  <c r="Q81" i="7"/>
  <c r="S81" i="7" s="1"/>
  <c r="T81" i="7" s="1"/>
  <c r="Q82" i="7"/>
  <c r="S82" i="7" s="1"/>
  <c r="T82" i="7" s="1"/>
  <c r="Q83" i="7"/>
  <c r="S83" i="7" s="1"/>
  <c r="T83" i="7" s="1"/>
  <c r="Q84" i="7"/>
  <c r="S84" i="7" s="1"/>
  <c r="T84" i="7" s="1"/>
  <c r="Q85" i="7"/>
  <c r="S85" i="7" s="1"/>
  <c r="T85" i="7" s="1"/>
  <c r="Q86" i="7"/>
  <c r="S86" i="7" s="1"/>
  <c r="T86" i="7" s="1"/>
  <c r="Q87" i="7"/>
  <c r="S87" i="7" s="1"/>
  <c r="T87" i="7" s="1"/>
  <c r="Q88" i="7"/>
  <c r="S88" i="7" s="1"/>
  <c r="T88" i="7" s="1"/>
  <c r="Q89" i="7"/>
  <c r="S89" i="7" s="1"/>
  <c r="T89" i="7" s="1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2" i="7"/>
  <c r="S2" i="7" s="1"/>
  <c r="T2" i="7" s="1"/>
  <c r="B6" i="2"/>
  <c r="B5" i="2"/>
  <c r="O3" i="7"/>
  <c r="C6" i="2" s="1"/>
  <c r="O2" i="7"/>
  <c r="C5" i="2" s="1"/>
  <c r="L3" i="7"/>
  <c r="L4" i="7"/>
  <c r="L5" i="7"/>
  <c r="L2" i="7"/>
  <c r="K3" i="7"/>
  <c r="K4" i="7"/>
  <c r="K5" i="7"/>
  <c r="K6" i="7"/>
  <c r="K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" i="7"/>
  <c r="F3" i="7"/>
  <c r="F4" i="7" s="1"/>
  <c r="F5" i="7" s="1"/>
  <c r="F6" i="7" s="1"/>
  <c r="F7" i="7" s="1"/>
  <c r="F8" i="7" s="1"/>
  <c r="F9" i="7" s="1"/>
  <c r="F10" i="7" s="1"/>
  <c r="F11" i="7" s="1"/>
  <c r="F12" i="7" s="1"/>
  <c r="F13" i="7" s="1"/>
  <c r="F14" i="7" s="1"/>
  <c r="F15" i="7" s="1"/>
  <c r="F16" i="7" s="1"/>
  <c r="F17" i="7" s="1"/>
  <c r="F18" i="7" s="1"/>
  <c r="F19" i="7" s="1"/>
  <c r="F20" i="7" s="1"/>
  <c r="F21" i="7" s="1"/>
  <c r="F22" i="7" s="1"/>
  <c r="F2" i="7"/>
  <c r="N6" i="3"/>
  <c r="N5" i="3"/>
  <c r="N4" i="3"/>
  <c r="L5" i="1"/>
  <c r="M5" i="1" s="1"/>
  <c r="C2" i="1"/>
  <c r="E2" i="1" s="1"/>
  <c r="H2" i="1"/>
  <c r="S17" i="7" l="1"/>
  <c r="T17" i="7" s="1"/>
  <c r="S21" i="7"/>
  <c r="T21" i="7" s="1"/>
  <c r="S9" i="7"/>
  <c r="T9" i="7" s="1"/>
  <c r="S25" i="7"/>
  <c r="T25" i="7" s="1"/>
  <c r="S13" i="7"/>
  <c r="T13" i="7" s="1"/>
  <c r="S23" i="7"/>
  <c r="T23" i="7" s="1"/>
  <c r="S15" i="7"/>
  <c r="T15" i="7" s="1"/>
  <c r="S11" i="7"/>
  <c r="T11" i="7" s="1"/>
  <c r="S7" i="7"/>
  <c r="T7" i="7" s="1"/>
  <c r="S24" i="7"/>
  <c r="T24" i="7" s="1"/>
  <c r="S20" i="7"/>
  <c r="T20" i="7" s="1"/>
  <c r="S16" i="7"/>
  <c r="T16" i="7" s="1"/>
  <c r="S12" i="7"/>
  <c r="T12" i="7" s="1"/>
  <c r="S8" i="7"/>
  <c r="T8" i="7" s="1"/>
  <c r="S4" i="7"/>
  <c r="T4" i="7" s="1"/>
  <c r="S22" i="7"/>
  <c r="T22" i="7" s="1"/>
  <c r="S18" i="7"/>
  <c r="T18" i="7" s="1"/>
  <c r="S14" i="7"/>
  <c r="T14" i="7" s="1"/>
  <c r="S10" i="7"/>
  <c r="T10" i="7" s="1"/>
  <c r="S6" i="7"/>
  <c r="T6" i="7" s="1"/>
  <c r="D6" i="3"/>
  <c r="E6" i="3" s="1"/>
  <c r="D3" i="3"/>
  <c r="E3" i="3" s="1"/>
  <c r="D7" i="3"/>
  <c r="E7" i="3" s="1"/>
  <c r="D5" i="3"/>
  <c r="E5" i="3" s="1"/>
  <c r="D4" i="3"/>
  <c r="E4" i="3" s="1"/>
  <c r="D8" i="3"/>
  <c r="E8" i="3" s="1"/>
  <c r="D2" i="3"/>
  <c r="E2" i="3" s="1"/>
  <c r="B5" i="1"/>
  <c r="U68" i="7" l="1"/>
  <c r="W68" i="7" s="1"/>
  <c r="U23" i="7"/>
  <c r="W23" i="7" s="1"/>
  <c r="U9" i="7"/>
  <c r="W9" i="7" s="1"/>
  <c r="U16" i="7"/>
  <c r="W16" i="7" s="1"/>
  <c r="U52" i="7"/>
  <c r="W52" i="7" s="1"/>
  <c r="U63" i="7"/>
  <c r="W63" i="7" s="1"/>
  <c r="U25" i="7"/>
  <c r="W25" i="7" s="1"/>
  <c r="U39" i="7"/>
  <c r="W39" i="7" s="1"/>
  <c r="U79" i="7"/>
  <c r="W79" i="7" s="1"/>
  <c r="U84" i="7"/>
  <c r="W84" i="7" s="1"/>
  <c r="U41" i="7"/>
  <c r="W41" i="7" s="1"/>
  <c r="U12" i="7"/>
  <c r="W12" i="7" s="1"/>
  <c r="U24" i="7"/>
  <c r="W24" i="7" s="1"/>
  <c r="U44" i="7"/>
  <c r="W44" i="7" s="1"/>
  <c r="U7" i="7"/>
  <c r="W7" i="7" s="1"/>
  <c r="U46" i="7"/>
  <c r="W46" i="7" s="1"/>
  <c r="U3" i="7"/>
  <c r="W3" i="7" s="1"/>
  <c r="X3" i="7" s="1"/>
  <c r="U57" i="7"/>
  <c r="W57" i="7" s="1"/>
  <c r="U70" i="7"/>
  <c r="W70" i="7" s="1"/>
  <c r="U66" i="7"/>
  <c r="W66" i="7" s="1"/>
  <c r="U74" i="7"/>
  <c r="W74" i="7" s="1"/>
  <c r="U13" i="7"/>
  <c r="W13" i="7" s="1"/>
  <c r="U29" i="7"/>
  <c r="W29" i="7" s="1"/>
  <c r="U45" i="7"/>
  <c r="W45" i="7" s="1"/>
  <c r="U11" i="7"/>
  <c r="W11" i="7" s="1"/>
  <c r="U27" i="7"/>
  <c r="W27" i="7" s="1"/>
  <c r="U43" i="7"/>
  <c r="W43" i="7" s="1"/>
  <c r="U22" i="7"/>
  <c r="W22" i="7" s="1"/>
  <c r="U51" i="7"/>
  <c r="W51" i="7" s="1"/>
  <c r="U67" i="7"/>
  <c r="W67" i="7" s="1"/>
  <c r="U83" i="7"/>
  <c r="W83" i="7" s="1"/>
  <c r="U32" i="7"/>
  <c r="W32" i="7" s="1"/>
  <c r="U56" i="7"/>
  <c r="W56" i="7" s="1"/>
  <c r="U72" i="7"/>
  <c r="W72" i="7" s="1"/>
  <c r="U88" i="7"/>
  <c r="W88" i="7" s="1"/>
  <c r="U42" i="7"/>
  <c r="W42" i="7" s="1"/>
  <c r="U61" i="7"/>
  <c r="W61" i="7" s="1"/>
  <c r="U77" i="7"/>
  <c r="W77" i="7" s="1"/>
  <c r="U54" i="7"/>
  <c r="W54" i="7" s="1"/>
  <c r="U50" i="7"/>
  <c r="W50" i="7" s="1"/>
  <c r="U58" i="7"/>
  <c r="W58" i="7" s="1"/>
  <c r="U17" i="7"/>
  <c r="W17" i="7" s="1"/>
  <c r="U6" i="7"/>
  <c r="W6" i="7" s="1"/>
  <c r="U31" i="7"/>
  <c r="W31" i="7" s="1"/>
  <c r="U30" i="7"/>
  <c r="W30" i="7" s="1"/>
  <c r="U71" i="7"/>
  <c r="W71" i="7" s="1"/>
  <c r="U87" i="7"/>
  <c r="W87" i="7" s="1"/>
  <c r="U40" i="7"/>
  <c r="W40" i="7" s="1"/>
  <c r="U60" i="7"/>
  <c r="W60" i="7" s="1"/>
  <c r="U76" i="7"/>
  <c r="W76" i="7" s="1"/>
  <c r="U18" i="7"/>
  <c r="W18" i="7" s="1"/>
  <c r="U49" i="7"/>
  <c r="W49" i="7" s="1"/>
  <c r="U65" i="7"/>
  <c r="W65" i="7" s="1"/>
  <c r="U81" i="7"/>
  <c r="W81" i="7" s="1"/>
  <c r="U14" i="7"/>
  <c r="W14" i="7" s="1"/>
  <c r="U28" i="7"/>
  <c r="W28" i="7" s="1"/>
  <c r="U20" i="7"/>
  <c r="W20" i="7" s="1"/>
  <c r="U36" i="7"/>
  <c r="W36" i="7" s="1"/>
  <c r="U34" i="7"/>
  <c r="W34" i="7" s="1"/>
  <c r="U73" i="7"/>
  <c r="W73" i="7" s="1"/>
  <c r="U89" i="7"/>
  <c r="W89" i="7" s="1"/>
  <c r="U78" i="7"/>
  <c r="W78" i="7" s="1"/>
  <c r="U4" i="7"/>
  <c r="W4" i="7" s="1"/>
  <c r="U33" i="7"/>
  <c r="W33" i="7" s="1"/>
  <c r="U15" i="7"/>
  <c r="W15" i="7" s="1"/>
  <c r="U47" i="7"/>
  <c r="W47" i="7" s="1"/>
  <c r="U55" i="7"/>
  <c r="W55" i="7" s="1"/>
  <c r="U5" i="7"/>
  <c r="W5" i="7" s="1"/>
  <c r="U21" i="7"/>
  <c r="W21" i="7" s="1"/>
  <c r="U37" i="7"/>
  <c r="W37" i="7" s="1"/>
  <c r="U10" i="7"/>
  <c r="W10" i="7" s="1"/>
  <c r="U19" i="7"/>
  <c r="W19" i="7" s="1"/>
  <c r="U35" i="7"/>
  <c r="W35" i="7" s="1"/>
  <c r="U8" i="7"/>
  <c r="W8" i="7" s="1"/>
  <c r="U38" i="7"/>
  <c r="W38" i="7" s="1"/>
  <c r="U59" i="7"/>
  <c r="W59" i="7" s="1"/>
  <c r="U75" i="7"/>
  <c r="W75" i="7" s="1"/>
  <c r="U48" i="7"/>
  <c r="W48" i="7" s="1"/>
  <c r="U64" i="7"/>
  <c r="W64" i="7" s="1"/>
  <c r="U80" i="7"/>
  <c r="W80" i="7" s="1"/>
  <c r="U26" i="7"/>
  <c r="W26" i="7" s="1"/>
  <c r="U53" i="7"/>
  <c r="W53" i="7" s="1"/>
  <c r="U69" i="7"/>
  <c r="W69" i="7" s="1"/>
  <c r="U85" i="7"/>
  <c r="W85" i="7" s="1"/>
  <c r="U62" i="7"/>
  <c r="W62" i="7" s="1"/>
  <c r="U86" i="7"/>
  <c r="W86" i="7" s="1"/>
  <c r="U82" i="7"/>
  <c r="W82" i="7" s="1"/>
  <c r="U2" i="7"/>
  <c r="W2" i="7" s="1"/>
  <c r="X2" i="7" s="1"/>
  <c r="F5" i="1"/>
  <c r="C5" i="1"/>
  <c r="F4" i="3"/>
  <c r="F8" i="3"/>
  <c r="F5" i="3"/>
  <c r="F2" i="3"/>
  <c r="J2" i="3" s="1"/>
  <c r="N3" i="3" s="1"/>
  <c r="F6" i="3"/>
  <c r="F3" i="3"/>
  <c r="F7" i="3"/>
  <c r="D5" i="1"/>
  <c r="H5" i="1"/>
  <c r="B6" i="1" s="1"/>
  <c r="E5" i="1"/>
  <c r="G5" i="1"/>
  <c r="I2" i="3" l="1"/>
  <c r="H2" i="3"/>
  <c r="G6" i="1"/>
  <c r="E6" i="1"/>
  <c r="C6" i="1"/>
  <c r="H6" i="1"/>
  <c r="C7" i="1" s="1"/>
  <c r="F6" i="1"/>
  <c r="D6" i="1"/>
  <c r="N6" i="1" l="1"/>
  <c r="N2" i="3"/>
  <c r="N5" i="1" s="1"/>
  <c r="N7" i="1"/>
  <c r="N8" i="1"/>
  <c r="H7" i="1"/>
  <c r="F8" i="1" s="1"/>
  <c r="F7" i="1"/>
  <c r="D7" i="1"/>
  <c r="B7" i="1"/>
  <c r="G7" i="1"/>
  <c r="E7" i="1"/>
  <c r="B8" i="1" l="1"/>
  <c r="G8" i="1"/>
  <c r="D8" i="1"/>
  <c r="E8" i="1"/>
  <c r="C8" i="1"/>
  <c r="H8" i="1"/>
  <c r="B9" i="1" s="1"/>
  <c r="H9" i="1" l="1"/>
  <c r="D10" i="1" s="1"/>
  <c r="E9" i="1"/>
  <c r="G9" i="1"/>
  <c r="D9" i="1"/>
  <c r="C9" i="1"/>
  <c r="F9" i="1"/>
  <c r="B10" i="1" l="1"/>
  <c r="E10" i="1"/>
  <c r="G10" i="1"/>
  <c r="H10" i="1"/>
  <c r="C10" i="1"/>
  <c r="F10" i="1"/>
</calcChain>
</file>

<file path=xl/sharedStrings.xml><?xml version="1.0" encoding="utf-8"?>
<sst xmlns="http://schemas.openxmlformats.org/spreadsheetml/2006/main" count="145" uniqueCount="41">
  <si>
    <t>Date</t>
  </si>
  <si>
    <t>Reiki</t>
  </si>
  <si>
    <t>Monday</t>
  </si>
  <si>
    <t>Tuesday</t>
  </si>
  <si>
    <t>Wednesday</t>
  </si>
  <si>
    <t>Thursday</t>
  </si>
  <si>
    <t>Friday</t>
  </si>
  <si>
    <t>Saturday</t>
  </si>
  <si>
    <t>Sunday</t>
  </si>
  <si>
    <t>Month</t>
  </si>
  <si>
    <t>Sun</t>
  </si>
  <si>
    <t>Mon</t>
  </si>
  <si>
    <t>Tue</t>
  </si>
  <si>
    <t>Wed</t>
  </si>
  <si>
    <t>Thu</t>
  </si>
  <si>
    <t>Fri</t>
  </si>
  <si>
    <t>Sat</t>
  </si>
  <si>
    <t>Year</t>
  </si>
  <si>
    <t>Task</t>
  </si>
  <si>
    <t>Category</t>
  </si>
  <si>
    <t>Order</t>
  </si>
  <si>
    <t>Mental Health</t>
  </si>
  <si>
    <t>Physical Health</t>
  </si>
  <si>
    <t>Studying</t>
  </si>
  <si>
    <t>Reading</t>
  </si>
  <si>
    <t>Status</t>
  </si>
  <si>
    <t>Task Name</t>
  </si>
  <si>
    <t>Category Name</t>
  </si>
  <si>
    <t>Meditatition</t>
  </si>
  <si>
    <t>Yes</t>
  </si>
  <si>
    <t>No</t>
  </si>
  <si>
    <t>Day</t>
  </si>
  <si>
    <t>Day of week</t>
  </si>
  <si>
    <t>Activties</t>
  </si>
  <si>
    <t>Menthal Health</t>
  </si>
  <si>
    <t>Physical health</t>
  </si>
  <si>
    <t>sessions</t>
  </si>
  <si>
    <t>Activities</t>
  </si>
  <si>
    <t>Task sessions</t>
  </si>
  <si>
    <t>Count</t>
  </si>
  <si>
    <t>Monthly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</si>
</sst>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0" borderId="0" xfId="0" applyFont="1"/>
    <xf numFmtId="14" fontId="0" fillId="0" borderId="0" xfId="0" applyNumberFormat="1"/>
    <xf numFmtId="1" fontId="0" fillId="0" borderId="0" xfId="0" applyNumberFormat="1"/>
    <xf numFmtId="0" fontId="4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14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164" fontId="6" fillId="0" borderId="1" xfId="0" applyNumberFormat="1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164" fontId="6" fillId="3" borderId="1" xfId="0" applyNumberFormat="1" applyFont="1" applyFill="1" applyBorder="1" applyAlignment="1">
      <alignment horizontal="center"/>
    </xf>
    <xf numFmtId="15" fontId="3" fillId="0" borderId="0" xfId="0" applyNumberFormat="1" applyFont="1"/>
    <xf numFmtId="15" fontId="0" fillId="0" borderId="0" xfId="0" applyNumberFormat="1"/>
    <xf numFmtId="0" fontId="7" fillId="0" borderId="0" xfId="0" applyFont="1"/>
    <xf numFmtId="0" fontId="8" fillId="0" borderId="0" xfId="0" applyFont="1"/>
    <xf numFmtId="15" fontId="7" fillId="0" borderId="0" xfId="0" applyNumberFormat="1" applyFont="1"/>
    <xf numFmtId="0" fontId="9" fillId="2" borderId="1" xfId="0" applyFont="1" applyFill="1" applyBorder="1" applyAlignment="1">
      <alignment horizontal="center"/>
    </xf>
    <xf numFmtId="14" fontId="7" fillId="0" borderId="0" xfId="0" applyNumberFormat="1" applyFont="1"/>
    <xf numFmtId="0" fontId="7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Continuous"/>
    </xf>
    <xf numFmtId="0" fontId="0" fillId="0" borderId="0" xfId="0" applyAlignment="1">
      <alignment horizontal="centerContinuous"/>
    </xf>
  </cellXfs>
  <cellStyles count="1"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0" formatCode="dd\-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5" formatCode=";;"/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036036036036036E-2"/>
          <c:y val="6.1366806136680614E-2"/>
          <c:w val="0.92792792792792789"/>
          <c:h val="0.8092146849844605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K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'Activities _count'!$K$2:$K$5</c:f>
              <c:strCache>
                <c:ptCount val="4"/>
                <c:pt idx="0">
                  <c:v>Mental Health</c:v>
                </c:pt>
                <c:pt idx="1">
                  <c:v>Physical Health</c:v>
                </c:pt>
                <c:pt idx="2">
                  <c:v>Reading</c:v>
                </c:pt>
                <c:pt idx="3">
                  <c:v>Studying</c:v>
                </c:pt>
              </c:strCache>
            </c:strRef>
          </c:cat>
          <c:val>
            <c:numRef>
              <c:f>'Activities _count'!$L$2:$L$5</c:f>
              <c:numCache>
                <c:formatCode>General</c:formatCode>
                <c:ptCount val="4"/>
                <c:pt idx="0">
                  <c:v>3</c:v>
                </c:pt>
                <c:pt idx="1">
                  <c:v>10</c:v>
                </c:pt>
                <c:pt idx="2">
                  <c:v>4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EB-4C42-AB52-8B08534C3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5182495"/>
        <c:axId val="1145179167"/>
      </c:barChart>
      <c:catAx>
        <c:axId val="1145182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1145179167"/>
        <c:crosses val="autoZero"/>
        <c:auto val="1"/>
        <c:lblAlgn val="ctr"/>
        <c:lblOffset val="100"/>
        <c:noMultiLvlLbl val="0"/>
      </c:catAx>
      <c:valAx>
        <c:axId val="114517916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45182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K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K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'Activities _count'!$W$2:$W$3</c:f>
              <c:strCache>
                <c:ptCount val="2"/>
                <c:pt idx="0">
                  <c:v>September</c:v>
                </c:pt>
                <c:pt idx="1">
                  <c:v>August</c:v>
                </c:pt>
              </c:strCache>
            </c:strRef>
          </c:cat>
          <c:val>
            <c:numRef>
              <c:f>'Activities _count'!$X$2:$X$3</c:f>
              <c:numCache>
                <c:formatCode>General</c:formatCode>
                <c:ptCount val="2"/>
                <c:pt idx="0">
                  <c:v>8</c:v>
                </c:pt>
                <c:pt idx="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1C-4D33-91C8-432FDB806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2864623"/>
        <c:axId val="1422858799"/>
      </c:barChart>
      <c:catAx>
        <c:axId val="142286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1422858799"/>
        <c:crosses val="autoZero"/>
        <c:auto val="1"/>
        <c:lblAlgn val="ctr"/>
        <c:lblOffset val="100"/>
        <c:noMultiLvlLbl val="0"/>
      </c:catAx>
      <c:valAx>
        <c:axId val="1422858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2286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K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C$1" max="12" min="1" page="10" val="10"/>
</file>

<file path=xl/ctrlProps/ctrlProp2.xml><?xml version="1.0" encoding="utf-8"?>
<formControlPr xmlns="http://schemas.microsoft.com/office/spreadsheetml/2009/9/main" objectType="Spin" dx="22" fmlaLink="$H$1" max="12" min="1" page="10" val="2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7</xdr:row>
      <xdr:rowOff>171450</xdr:rowOff>
    </xdr:from>
    <xdr:to>
      <xdr:col>6</xdr:col>
      <xdr:colOff>561975</xdr:colOff>
      <xdr:row>19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16384</xdr:col>
      <xdr:colOff>19050</xdr:colOff>
      <xdr:row>1</xdr:row>
      <xdr:rowOff>171450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0" y="0"/>
          <a:ext cx="11982450" cy="3619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ACTIVITY</a:t>
          </a:r>
          <a:r>
            <a:rPr lang="en-US" sz="2400" baseline="0"/>
            <a:t> TRACKER</a:t>
          </a:r>
          <a:endParaRPr lang="en-KE" sz="2400"/>
        </a:p>
      </xdr:txBody>
    </xdr:sp>
    <xdr:clientData/>
  </xdr:twoCellAnchor>
  <xdr:twoCellAnchor>
    <xdr:from>
      <xdr:col>17</xdr:col>
      <xdr:colOff>104775</xdr:colOff>
      <xdr:row>0</xdr:row>
      <xdr:rowOff>47625</xdr:rowOff>
    </xdr:from>
    <xdr:to>
      <xdr:col>18</xdr:col>
      <xdr:colOff>381000</xdr:colOff>
      <xdr:row>1</xdr:row>
      <xdr:rowOff>114300</xdr:rowOff>
    </xdr:to>
    <xdr:sp macro="[0]!measur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239375" y="47625"/>
          <a:ext cx="8858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Track</a:t>
          </a:r>
          <a:r>
            <a:rPr lang="en-US" sz="1100" baseline="0"/>
            <a:t>_goals</a:t>
          </a:r>
          <a:endParaRPr lang="en-KE" sz="1100"/>
        </a:p>
      </xdr:txBody>
    </xdr:sp>
    <xdr:clientData/>
  </xdr:twoCellAnchor>
  <xdr:twoCellAnchor>
    <xdr:from>
      <xdr:col>6</xdr:col>
      <xdr:colOff>600075</xdr:colOff>
      <xdr:row>7</xdr:row>
      <xdr:rowOff>171449</xdr:rowOff>
    </xdr:from>
    <xdr:to>
      <xdr:col>14</xdr:col>
      <xdr:colOff>295275</xdr:colOff>
      <xdr:row>20</xdr:row>
      <xdr:rowOff>9524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0</xdr:rowOff>
        </xdr:from>
        <xdr:to>
          <xdr:col>3</xdr:col>
          <xdr:colOff>238125</xdr:colOff>
          <xdr:row>2</xdr:row>
          <xdr:rowOff>9525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8</xdr:col>
          <xdr:colOff>238125</xdr:colOff>
          <xdr:row>2</xdr:row>
          <xdr:rowOff>9525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142875</xdr:colOff>
      <xdr:row>9</xdr:row>
      <xdr:rowOff>276224</xdr:rowOff>
    </xdr:from>
    <xdr:to>
      <xdr:col>5</xdr:col>
      <xdr:colOff>638175</xdr:colOff>
      <xdr:row>14</xdr:row>
      <xdr:rowOff>38099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57425" y="3181349"/>
          <a:ext cx="1990725" cy="885825"/>
        </a:xfrm>
        <a:prstGeom prst="ellipse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i="1"/>
            <a:t>Double click on date to reveal activity</a:t>
          </a:r>
          <a:r>
            <a:rPr lang="en-US" sz="1100" i="1" baseline="0"/>
            <a:t> for the day</a:t>
          </a:r>
          <a:endParaRPr lang="en-KE" sz="1100" i="1"/>
        </a:p>
      </xdr:txBody>
    </xdr:sp>
    <xdr:clientData/>
  </xdr:twoCellAnchor>
  <xdr:twoCellAnchor>
    <xdr:from>
      <xdr:col>4</xdr:col>
      <xdr:colOff>9525</xdr:colOff>
      <xdr:row>8</xdr:row>
      <xdr:rowOff>342900</xdr:rowOff>
    </xdr:from>
    <xdr:to>
      <xdr:col>4</xdr:col>
      <xdr:colOff>295275</xdr:colOff>
      <xdr:row>9</xdr:row>
      <xdr:rowOff>285750</xdr:rowOff>
    </xdr:to>
    <xdr:cxnSp macro="">
      <xdr:nvCxnSpPr>
        <xdr:cNvPr id="4" name="Connector: Curved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rot="16200000" flipH="1">
          <a:off x="2828925" y="2895600"/>
          <a:ext cx="304800" cy="285750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63E94-1CB1-4EFD-B976-B7DA63FEA21F}" name="Table2" displayName="Table2" ref="A1:E25" totalsRowShown="0" headerRowDxfId="6" dataDxfId="5">
  <autoFilter ref="A1:E25" xr:uid="{BF763E94-1CB1-4EFD-B976-B7DA63FEA21F}"/>
  <tableColumns count="5">
    <tableColumn id="1" xr3:uid="{2AFF3F87-DB29-4CB6-9834-E64B639B195E}" name="Order" dataDxfId="4"/>
    <tableColumn id="2" xr3:uid="{0307E1AB-9C17-4C0F-88C0-9AE1BEDE0EDE}" name="Category" dataDxfId="3"/>
    <tableColumn id="3" xr3:uid="{7EB34BBE-992D-489E-ACBA-7367331E94AF}" name="Task" dataDxfId="2"/>
    <tableColumn id="4" xr3:uid="{39DA5393-D1C9-45B6-81D8-98FAEDE6666C}" name="Status" dataDxfId="1"/>
    <tableColumn id="5" xr3:uid="{94E47070-B3B2-409E-A305-E177B341E138}" name="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4F4BE-397C-4257-809C-70680023AAE7}">
  <sheetPr codeName="Sheet2"/>
  <dimension ref="A1:T20"/>
  <sheetViews>
    <sheetView showGridLines="0" tabSelected="1" workbookViewId="0">
      <selection activeCell="O15" sqref="O15"/>
    </sheetView>
  </sheetViews>
  <sheetFormatPr defaultColWidth="0" defaultRowHeight="15" zeroHeight="1" x14ac:dyDescent="0.25"/>
  <cols>
    <col min="1" max="1" width="2.140625" customWidth="1"/>
    <col min="2" max="2" width="12.7109375" bestFit="1" customWidth="1"/>
    <col min="3" max="20" width="9.140625" customWidth="1"/>
    <col min="21" max="16384" width="9.140625" hidden="1"/>
  </cols>
  <sheetData>
    <row r="1" spans="2:13" x14ac:dyDescent="0.25"/>
    <row r="2" spans="2:13" x14ac:dyDescent="0.25"/>
    <row r="3" spans="2:13" x14ac:dyDescent="0.25"/>
    <row r="4" spans="2:13" x14ac:dyDescent="0.25">
      <c r="B4" s="24" t="s">
        <v>38</v>
      </c>
      <c r="C4" s="24" t="s">
        <v>39</v>
      </c>
    </row>
    <row r="5" spans="2:13" x14ac:dyDescent="0.25">
      <c r="B5" s="16" t="str">
        <f>'Activities _count'!N2</f>
        <v>Meditatition</v>
      </c>
      <c r="C5" s="16">
        <f>'Activities _count'!O2</f>
        <v>17</v>
      </c>
    </row>
    <row r="6" spans="2:13" x14ac:dyDescent="0.25">
      <c r="B6" s="16" t="str">
        <f>'Activities _count'!N3</f>
        <v>Reiki</v>
      </c>
      <c r="C6" s="16">
        <f>'Activities _count'!O3</f>
        <v>7</v>
      </c>
    </row>
    <row r="7" spans="2:13" x14ac:dyDescent="0.25"/>
    <row r="8" spans="2:13" x14ac:dyDescent="0.25">
      <c r="B8" s="25" t="s">
        <v>38</v>
      </c>
      <c r="C8" s="26"/>
      <c r="D8" s="26"/>
      <c r="E8" s="26"/>
      <c r="F8" s="26"/>
      <c r="G8" s="26"/>
      <c r="I8" s="25" t="s">
        <v>40</v>
      </c>
      <c r="J8" s="25"/>
      <c r="K8" s="25"/>
      <c r="L8" s="23"/>
      <c r="M8" s="23"/>
    </row>
    <row r="9" spans="2:13" x14ac:dyDescent="0.25"/>
    <row r="10" spans="2:13" x14ac:dyDescent="0.25"/>
    <row r="11" spans="2:13" x14ac:dyDescent="0.25"/>
    <row r="12" spans="2:13" x14ac:dyDescent="0.25"/>
    <row r="13" spans="2:13" x14ac:dyDescent="0.25"/>
    <row r="14" spans="2:13" x14ac:dyDescent="0.25"/>
    <row r="15" spans="2:13" x14ac:dyDescent="0.25"/>
    <row r="16" spans="2:13" x14ac:dyDescent="0.25"/>
    <row r="17" x14ac:dyDescent="0.25"/>
    <row r="18" x14ac:dyDescent="0.25"/>
    <row r="19" x14ac:dyDescent="0.25"/>
    <row r="20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99E5E-0BC3-4A6A-9E75-8645512BF0E7}">
  <sheetPr codeName="Sheet1"/>
  <dimension ref="B1:P15"/>
  <sheetViews>
    <sheetView showGridLines="0" workbookViewId="0">
      <selection activeCell="J9" sqref="J9"/>
    </sheetView>
  </sheetViews>
  <sheetFormatPr defaultRowHeight="15" x14ac:dyDescent="0.25"/>
  <cols>
    <col min="2" max="2" width="10.7109375" bestFit="1" customWidth="1"/>
    <col min="3" max="3" width="11.85546875" bestFit="1" customWidth="1"/>
    <col min="4" max="4" width="10.7109375" bestFit="1" customWidth="1"/>
    <col min="5" max="5" width="11.7109375" bestFit="1" customWidth="1"/>
    <col min="6" max="8" width="10.7109375" bestFit="1" customWidth="1"/>
    <col min="12" max="12" width="10.7109375" bestFit="1" customWidth="1"/>
    <col min="13" max="13" width="13.140625" bestFit="1" customWidth="1"/>
    <col min="14" max="14" width="13.28515625" bestFit="1" customWidth="1"/>
    <col min="15" max="15" width="11.5703125" customWidth="1"/>
  </cols>
  <sheetData>
    <row r="1" spans="2:16" ht="15.75" x14ac:dyDescent="0.25">
      <c r="C1" s="8">
        <v>10</v>
      </c>
      <c r="H1" s="8">
        <v>2</v>
      </c>
      <c r="M1" s="22">
        <v>44829</v>
      </c>
      <c r="N1" s="5"/>
    </row>
    <row r="2" spans="2:16" s="1" customFormat="1" ht="23.25" customHeight="1" x14ac:dyDescent="0.3">
      <c r="B2" s="4" t="s">
        <v>9</v>
      </c>
      <c r="C2" s="9" t="str">
        <f>TEXT(DATE(H2,C1,1),"MMMM")</f>
        <v>October</v>
      </c>
      <c r="D2" s="5"/>
      <c r="E2" s="6" t="str">
        <f>C2&amp; "-" &amp;H2</f>
        <v>October-2022</v>
      </c>
      <c r="F2" s="5"/>
      <c r="G2" s="4" t="s">
        <v>17</v>
      </c>
      <c r="H2" s="10">
        <f>2020+H1</f>
        <v>2022</v>
      </c>
      <c r="L2"/>
      <c r="M2" s="14"/>
      <c r="N2" s="14"/>
    </row>
    <row r="3" spans="2:16" ht="26.25" customHeight="1" x14ac:dyDescent="0.25">
      <c r="L3" s="3"/>
      <c r="P3" s="7"/>
    </row>
    <row r="4" spans="2:16" ht="21" customHeight="1" x14ac:dyDescent="0.3">
      <c r="B4" s="12" t="s">
        <v>10</v>
      </c>
      <c r="C4" s="12" t="s">
        <v>11</v>
      </c>
      <c r="D4" s="12" t="s">
        <v>12</v>
      </c>
      <c r="E4" s="12" t="s">
        <v>13</v>
      </c>
      <c r="F4" s="12" t="s">
        <v>14</v>
      </c>
      <c r="G4" s="12" t="s">
        <v>15</v>
      </c>
      <c r="H4" s="12" t="s">
        <v>16</v>
      </c>
      <c r="L4" s="19" t="s">
        <v>0</v>
      </c>
      <c r="M4" s="19" t="s">
        <v>32</v>
      </c>
      <c r="N4" s="19" t="s">
        <v>33</v>
      </c>
    </row>
    <row r="5" spans="2:16" ht="28.5" customHeight="1" x14ac:dyDescent="0.3">
      <c r="B5" s="13">
        <f>DATEVALUE("1"&amp;C2&amp;""&amp;H2)-WEEKDAY(DATEVALUE("1"&amp;C2&amp;""&amp;H2))+1</f>
        <v>44829</v>
      </c>
      <c r="C5" s="11">
        <f>$B$5+COLUMNS($B$5:B5)</f>
        <v>44830</v>
      </c>
      <c r="D5" s="11">
        <f>$B$5+COLUMNS($B$5:C5)</f>
        <v>44831</v>
      </c>
      <c r="E5" s="11">
        <f>$B$5+COLUMNS($B$5:D5)</f>
        <v>44832</v>
      </c>
      <c r="F5" s="11">
        <f>$B$5+COLUMNS($B$5:E5)</f>
        <v>44833</v>
      </c>
      <c r="G5" s="11">
        <f>$B$5+COLUMNS($B$5:F5)</f>
        <v>44834</v>
      </c>
      <c r="H5" s="11">
        <f>$B$5+COLUMNS($B$5:G5)</f>
        <v>44835</v>
      </c>
      <c r="L5" s="20">
        <f>M1</f>
        <v>44829</v>
      </c>
      <c r="M5" s="21" t="str">
        <f>TEXT(L5,"DDDD")</f>
        <v>Sunday</v>
      </c>
      <c r="N5" s="16" t="str">
        <f>Calendar_cals!N2</f>
        <v>Menthal Health</v>
      </c>
    </row>
    <row r="6" spans="2:16" ht="28.5" customHeight="1" x14ac:dyDescent="0.3">
      <c r="B6" s="13">
        <f>$H$5+COLUMNS($B$5:B5)</f>
        <v>44836</v>
      </c>
      <c r="C6" s="11">
        <f>$H$5+COLUMNS($B$5:C5)</f>
        <v>44837</v>
      </c>
      <c r="D6" s="11">
        <f>$H$5+COLUMNS($B$5:D5)</f>
        <v>44838</v>
      </c>
      <c r="E6" s="11">
        <f>$H$5+COLUMNS($B$5:E5)</f>
        <v>44839</v>
      </c>
      <c r="F6" s="11">
        <f>$H$5+COLUMNS($B$5:F5)</f>
        <v>44840</v>
      </c>
      <c r="G6" s="11">
        <f>$H$5+COLUMNS($B$5:G5)</f>
        <v>44841</v>
      </c>
      <c r="H6" s="11">
        <f>$H$5+COLUMNS($B$5:H5)</f>
        <v>44842</v>
      </c>
      <c r="L6" s="16"/>
      <c r="M6" s="16"/>
      <c r="N6" s="16" t="str">
        <f>Calendar_cals!N3</f>
        <v>Physical health</v>
      </c>
    </row>
    <row r="7" spans="2:16" ht="28.5" customHeight="1" x14ac:dyDescent="0.3">
      <c r="B7" s="13">
        <f>$H$6+COLUMNS($H$6:H6)</f>
        <v>44843</v>
      </c>
      <c r="C7" s="11">
        <f>$H$6+COLUMNS($H$6:I6)</f>
        <v>44844</v>
      </c>
      <c r="D7" s="11">
        <f>$H$6+COLUMNS($H$6:J6)</f>
        <v>44845</v>
      </c>
      <c r="E7" s="11">
        <f>$H$6+COLUMNS($H$6:K6)</f>
        <v>44846</v>
      </c>
      <c r="F7" s="11">
        <f>$H$6+COLUMNS($H$6:L6)</f>
        <v>44847</v>
      </c>
      <c r="G7" s="11">
        <f>$H$6+COLUMNS($H$6:M6)</f>
        <v>44848</v>
      </c>
      <c r="H7" s="11">
        <f>$H$6+COLUMNS($H$6:N6)</f>
        <v>44849</v>
      </c>
      <c r="L7" s="16"/>
      <c r="M7" s="16"/>
      <c r="N7" s="16" t="str">
        <f>Calendar_cals!N4</f>
        <v/>
      </c>
      <c r="O7" s="15"/>
    </row>
    <row r="8" spans="2:16" ht="28.5" customHeight="1" x14ac:dyDescent="0.3">
      <c r="B8" s="13">
        <f>$H$7+COLUMNS($H$7:H7)</f>
        <v>44850</v>
      </c>
      <c r="C8" s="11">
        <f>$H$7+COLUMNS($H$7:I7)</f>
        <v>44851</v>
      </c>
      <c r="D8" s="11">
        <f>$H$7+COLUMNS($H$7:J7)</f>
        <v>44852</v>
      </c>
      <c r="E8" s="11">
        <f>$H$7+COLUMNS($H$7:K7)</f>
        <v>44853</v>
      </c>
      <c r="F8" s="11">
        <f>$H$7+COLUMNS($H$7:L7)</f>
        <v>44854</v>
      </c>
      <c r="G8" s="11">
        <f>$H$7+COLUMNS($H$7:M7)</f>
        <v>44855</v>
      </c>
      <c r="H8" s="11">
        <f>$H$7+COLUMNS($H$7:N7)</f>
        <v>44856</v>
      </c>
      <c r="L8" s="21"/>
      <c r="M8" s="16"/>
      <c r="N8" s="16" t="str">
        <f>Calendar_cals!N5</f>
        <v/>
      </c>
    </row>
    <row r="9" spans="2:16" ht="28.5" customHeight="1" x14ac:dyDescent="0.3">
      <c r="B9" s="13">
        <f>$H$8+COLUMNS($H$8:H8)</f>
        <v>44857</v>
      </c>
      <c r="C9" s="11">
        <f>$H$8+COLUMNS($H$8:I8)</f>
        <v>44858</v>
      </c>
      <c r="D9" s="11">
        <f>$H$8+COLUMNS($H$8:J8)</f>
        <v>44859</v>
      </c>
      <c r="E9" s="11">
        <f>$H$8+COLUMNS($H$8:K8)</f>
        <v>44860</v>
      </c>
      <c r="F9" s="11">
        <f>$H$8+COLUMNS($H$8:L8)</f>
        <v>44861</v>
      </c>
      <c r="G9" s="11">
        <f>$H$8+COLUMNS($H$8:M8)</f>
        <v>44862</v>
      </c>
      <c r="H9" s="11">
        <f>$H$8+COLUMNS($H$8:N8)</f>
        <v>44863</v>
      </c>
      <c r="L9" s="16"/>
      <c r="M9" s="16"/>
      <c r="N9" s="16"/>
    </row>
    <row r="10" spans="2:16" ht="28.5" customHeight="1" x14ac:dyDescent="0.3">
      <c r="B10" s="13">
        <f>$H$9+COLUMNS($H$9:H9)</f>
        <v>44864</v>
      </c>
      <c r="C10" s="11">
        <f>$H$9+COLUMNS($H$9:I9)</f>
        <v>44865</v>
      </c>
      <c r="D10" s="11">
        <f>$H$9+COLUMNS($H$9:J9)</f>
        <v>44866</v>
      </c>
      <c r="E10" s="11">
        <f>$H$9+COLUMNS($H$9:K9)</f>
        <v>44867</v>
      </c>
      <c r="F10" s="11">
        <f>$H$9+COLUMNS($H$9:L9)</f>
        <v>44868</v>
      </c>
      <c r="G10" s="11">
        <f>$H$9+COLUMNS($H$9:M9)</f>
        <v>44869</v>
      </c>
      <c r="H10" s="11">
        <f>$H$9+COLUMNS($H$9:N9)</f>
        <v>44870</v>
      </c>
      <c r="L10" s="16"/>
      <c r="M10" s="16"/>
      <c r="N10" s="16"/>
    </row>
    <row r="15" spans="2:16" x14ac:dyDescent="0.25">
      <c r="B15" s="2"/>
    </row>
  </sheetData>
  <phoneticPr fontId="2" type="noConversion"/>
  <conditionalFormatting sqref="B5:H10">
    <cfRule type="expression" dxfId="10" priority="4">
      <formula>TEXT(B5,"MMMM")&lt;&gt;$C$2</formula>
    </cfRule>
  </conditionalFormatting>
  <conditionalFormatting sqref="B9:H10">
    <cfRule type="expression" dxfId="9" priority="3">
      <formula>DAY(B9)&lt;20</formula>
    </cfRule>
  </conditionalFormatting>
  <conditionalFormatting sqref="B8:H10">
    <cfRule type="expression" dxfId="8" priority="2">
      <formula>DAY(B8)&gt;20</formula>
    </cfRule>
  </conditionalFormatting>
  <conditionalFormatting sqref="L5:N9">
    <cfRule type="notContainsBlanks" dxfId="7" priority="1">
      <formula>LEN(TRIM(L5))&gt;0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9525</xdr:colOff>
                    <xdr:row>1</xdr:row>
                    <xdr:rowOff>0</xdr:rowOff>
                  </from>
                  <to>
                    <xdr:col>3</xdr:col>
                    <xdr:colOff>238125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8</xdr:col>
                    <xdr:colOff>238125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404D5-56F2-498E-9F72-93E62F00FA91}">
  <sheetPr codeName="Sheet5"/>
  <dimension ref="A1:E25"/>
  <sheetViews>
    <sheetView workbookViewId="0">
      <selection activeCell="I1" sqref="I1:I1048576"/>
    </sheetView>
  </sheetViews>
  <sheetFormatPr defaultRowHeight="12.75" x14ac:dyDescent="0.2"/>
  <cols>
    <col min="1" max="1" width="7.85546875" style="16" customWidth="1"/>
    <col min="2" max="2" width="13.42578125" style="16" bestFit="1" customWidth="1"/>
    <col min="3" max="3" width="10.85546875" style="16" bestFit="1" customWidth="1"/>
    <col min="4" max="4" width="8" style="16" customWidth="1"/>
    <col min="5" max="5" width="8.85546875" style="16" bestFit="1" customWidth="1"/>
    <col min="6" max="16384" width="9.140625" style="16"/>
  </cols>
  <sheetData>
    <row r="1" spans="1:5" x14ac:dyDescent="0.2">
      <c r="A1" s="17" t="s">
        <v>20</v>
      </c>
      <c r="B1" s="17" t="s">
        <v>19</v>
      </c>
      <c r="C1" s="17" t="s">
        <v>18</v>
      </c>
      <c r="D1" s="17" t="s">
        <v>25</v>
      </c>
      <c r="E1" s="17" t="s">
        <v>0</v>
      </c>
    </row>
    <row r="2" spans="1:5" x14ac:dyDescent="0.2">
      <c r="A2" s="16">
        <v>1</v>
      </c>
      <c r="B2" s="16" t="s">
        <v>21</v>
      </c>
      <c r="C2" s="16" t="s">
        <v>28</v>
      </c>
      <c r="D2" s="16" t="s">
        <v>29</v>
      </c>
      <c r="E2" s="18">
        <v>44805</v>
      </c>
    </row>
    <row r="3" spans="1:5" x14ac:dyDescent="0.2">
      <c r="A3" s="16">
        <v>2</v>
      </c>
      <c r="B3" s="16" t="s">
        <v>22</v>
      </c>
      <c r="C3" s="16" t="s">
        <v>1</v>
      </c>
      <c r="D3" s="16" t="s">
        <v>30</v>
      </c>
      <c r="E3" s="18">
        <v>44805</v>
      </c>
    </row>
    <row r="4" spans="1:5" x14ac:dyDescent="0.2">
      <c r="A4" s="16">
        <v>3</v>
      </c>
      <c r="B4" s="16" t="s">
        <v>24</v>
      </c>
      <c r="C4" s="16" t="s">
        <v>1</v>
      </c>
      <c r="D4" s="16" t="s">
        <v>29</v>
      </c>
      <c r="E4" s="18">
        <v>44805</v>
      </c>
    </row>
    <row r="5" spans="1:5" x14ac:dyDescent="0.2">
      <c r="A5" s="16">
        <v>4</v>
      </c>
      <c r="B5" s="16" t="s">
        <v>23</v>
      </c>
      <c r="C5" s="16" t="s">
        <v>1</v>
      </c>
      <c r="D5" s="16" t="s">
        <v>29</v>
      </c>
      <c r="E5" s="18">
        <v>44805</v>
      </c>
    </row>
    <row r="6" spans="1:5" x14ac:dyDescent="0.2">
      <c r="A6" s="16">
        <v>5</v>
      </c>
      <c r="B6" s="16" t="s">
        <v>21</v>
      </c>
      <c r="C6" s="16" t="s">
        <v>28</v>
      </c>
      <c r="D6" s="16" t="s">
        <v>29</v>
      </c>
      <c r="E6" s="18">
        <v>44774</v>
      </c>
    </row>
    <row r="7" spans="1:5" x14ac:dyDescent="0.2">
      <c r="A7" s="16">
        <v>6</v>
      </c>
      <c r="B7" s="16" t="s">
        <v>22</v>
      </c>
      <c r="C7" s="16" t="s">
        <v>28</v>
      </c>
      <c r="D7" s="16" t="s">
        <v>29</v>
      </c>
      <c r="E7" s="18">
        <v>44775</v>
      </c>
    </row>
    <row r="8" spans="1:5" x14ac:dyDescent="0.2">
      <c r="A8" s="16">
        <v>7</v>
      </c>
      <c r="B8" s="16" t="s">
        <v>22</v>
      </c>
      <c r="C8" s="16" t="s">
        <v>1</v>
      </c>
      <c r="D8" s="16" t="s">
        <v>29</v>
      </c>
      <c r="E8" s="18">
        <v>44775</v>
      </c>
    </row>
    <row r="9" spans="1:5" x14ac:dyDescent="0.2">
      <c r="A9" s="16">
        <v>8</v>
      </c>
      <c r="B9" s="16" t="s">
        <v>23</v>
      </c>
      <c r="C9" s="16" t="s">
        <v>28</v>
      </c>
      <c r="D9" s="16" t="s">
        <v>30</v>
      </c>
      <c r="E9" s="18">
        <v>44775</v>
      </c>
    </row>
    <row r="10" spans="1:5" x14ac:dyDescent="0.2">
      <c r="A10" s="16">
        <v>9</v>
      </c>
      <c r="B10" s="16" t="s">
        <v>23</v>
      </c>
      <c r="C10" s="16" t="s">
        <v>28</v>
      </c>
      <c r="D10" s="16" t="s">
        <v>29</v>
      </c>
      <c r="E10" s="18">
        <v>44775</v>
      </c>
    </row>
    <row r="11" spans="1:5" x14ac:dyDescent="0.2">
      <c r="A11" s="16">
        <v>10</v>
      </c>
      <c r="B11" s="16" t="s">
        <v>24</v>
      </c>
      <c r="C11" s="16" t="s">
        <v>28</v>
      </c>
      <c r="D11" s="16" t="s">
        <v>29</v>
      </c>
      <c r="E11" s="18">
        <v>44775</v>
      </c>
    </row>
    <row r="12" spans="1:5" x14ac:dyDescent="0.2">
      <c r="A12" s="16">
        <v>11</v>
      </c>
      <c r="B12" s="16" t="s">
        <v>22</v>
      </c>
      <c r="C12" s="16" t="s">
        <v>28</v>
      </c>
      <c r="D12" s="16" t="s">
        <v>30</v>
      </c>
      <c r="E12" s="18">
        <v>44775</v>
      </c>
    </row>
    <row r="13" spans="1:5" x14ac:dyDescent="0.2">
      <c r="A13" s="16">
        <v>12</v>
      </c>
      <c r="B13" s="16" t="s">
        <v>22</v>
      </c>
      <c r="C13" s="16" t="s">
        <v>28</v>
      </c>
      <c r="D13" s="16" t="s">
        <v>29</v>
      </c>
      <c r="E13" s="18">
        <v>44775</v>
      </c>
    </row>
    <row r="14" spans="1:5" x14ac:dyDescent="0.2">
      <c r="A14" s="16">
        <v>13</v>
      </c>
      <c r="B14" s="16" t="s">
        <v>21</v>
      </c>
      <c r="C14" s="16" t="s">
        <v>28</v>
      </c>
      <c r="D14" s="16" t="s">
        <v>29</v>
      </c>
      <c r="E14" s="18">
        <v>44777</v>
      </c>
    </row>
    <row r="15" spans="1:5" x14ac:dyDescent="0.2">
      <c r="A15" s="16">
        <v>14</v>
      </c>
      <c r="B15" s="16" t="s">
        <v>22</v>
      </c>
      <c r="C15" s="16" t="s">
        <v>1</v>
      </c>
      <c r="D15" s="16" t="s">
        <v>29</v>
      </c>
      <c r="E15" s="18">
        <v>44782</v>
      </c>
    </row>
    <row r="16" spans="1:5" x14ac:dyDescent="0.2">
      <c r="A16" s="16">
        <v>15</v>
      </c>
      <c r="B16" s="16" t="s">
        <v>22</v>
      </c>
      <c r="C16" s="16" t="s">
        <v>28</v>
      </c>
      <c r="D16" s="16" t="s">
        <v>29</v>
      </c>
      <c r="E16" s="18">
        <v>44783</v>
      </c>
    </row>
    <row r="17" spans="1:5" x14ac:dyDescent="0.2">
      <c r="A17" s="16">
        <v>16</v>
      </c>
      <c r="B17" s="16" t="s">
        <v>23</v>
      </c>
      <c r="C17" s="16" t="s">
        <v>28</v>
      </c>
      <c r="D17" s="16" t="s">
        <v>29</v>
      </c>
      <c r="E17" s="18">
        <v>44784</v>
      </c>
    </row>
    <row r="18" spans="1:5" x14ac:dyDescent="0.2">
      <c r="A18" s="16">
        <v>17</v>
      </c>
      <c r="B18" s="16" t="s">
        <v>23</v>
      </c>
      <c r="C18" s="16" t="s">
        <v>28</v>
      </c>
      <c r="D18" s="16" t="s">
        <v>29</v>
      </c>
      <c r="E18" s="18">
        <v>44790</v>
      </c>
    </row>
    <row r="19" spans="1:5" x14ac:dyDescent="0.2">
      <c r="A19" s="16">
        <v>18</v>
      </c>
      <c r="B19" s="16" t="s">
        <v>22</v>
      </c>
      <c r="C19" s="16" t="s">
        <v>28</v>
      </c>
      <c r="D19" s="16" t="s">
        <v>29</v>
      </c>
      <c r="E19" s="18">
        <v>44791</v>
      </c>
    </row>
    <row r="20" spans="1:5" x14ac:dyDescent="0.2">
      <c r="A20" s="16">
        <v>19</v>
      </c>
      <c r="B20" s="16" t="s">
        <v>24</v>
      </c>
      <c r="C20" s="16" t="s">
        <v>1</v>
      </c>
      <c r="D20" s="16" t="s">
        <v>29</v>
      </c>
      <c r="E20" s="18">
        <v>44793</v>
      </c>
    </row>
    <row r="21" spans="1:5" x14ac:dyDescent="0.2">
      <c r="A21" s="16">
        <v>20</v>
      </c>
      <c r="B21" s="16" t="s">
        <v>24</v>
      </c>
      <c r="C21" s="16" t="s">
        <v>28</v>
      </c>
      <c r="D21" s="16" t="s">
        <v>29</v>
      </c>
      <c r="E21" s="18">
        <v>44794</v>
      </c>
    </row>
    <row r="22" spans="1:5" x14ac:dyDescent="0.2">
      <c r="A22" s="16">
        <v>21</v>
      </c>
      <c r="B22" s="16" t="s">
        <v>22</v>
      </c>
      <c r="C22" s="16" t="s">
        <v>1</v>
      </c>
      <c r="D22" s="16" t="s">
        <v>29</v>
      </c>
      <c r="E22" s="18">
        <v>44805</v>
      </c>
    </row>
    <row r="23" spans="1:5" x14ac:dyDescent="0.2">
      <c r="A23" s="16">
        <v>22</v>
      </c>
      <c r="B23" s="16" t="s">
        <v>22</v>
      </c>
      <c r="C23" s="16" t="s">
        <v>28</v>
      </c>
      <c r="D23" s="16" t="s">
        <v>29</v>
      </c>
      <c r="E23" s="18">
        <v>44805</v>
      </c>
    </row>
    <row r="24" spans="1:5" x14ac:dyDescent="0.2">
      <c r="A24" s="16">
        <v>23</v>
      </c>
      <c r="B24" s="16" t="s">
        <v>23</v>
      </c>
      <c r="C24" s="16" t="s">
        <v>28</v>
      </c>
      <c r="D24" s="16" t="s">
        <v>29</v>
      </c>
      <c r="E24" s="18">
        <v>44805</v>
      </c>
    </row>
    <row r="25" spans="1:5" x14ac:dyDescent="0.2">
      <c r="A25" s="16">
        <v>24</v>
      </c>
      <c r="B25" s="16" t="s">
        <v>23</v>
      </c>
      <c r="C25" s="16" t="s">
        <v>28</v>
      </c>
      <c r="D25" s="16" t="s">
        <v>29</v>
      </c>
      <c r="E25" s="18">
        <v>44805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811FB-D4DF-4E1A-83C8-F25019601045}">
  <sheetPr codeName="Sheet7"/>
  <dimension ref="B1:X103"/>
  <sheetViews>
    <sheetView workbookViewId="0">
      <selection activeCell="H2" sqref="H2"/>
    </sheetView>
  </sheetViews>
  <sheetFormatPr defaultRowHeight="15" x14ac:dyDescent="0.25"/>
  <cols>
    <col min="2" max="2" width="9.28515625" bestFit="1" customWidth="1"/>
    <col min="7" max="7" width="19" customWidth="1"/>
    <col min="8" max="8" width="13.42578125" bestFit="1" customWidth="1"/>
    <col min="11" max="11" width="14.5703125" bestFit="1" customWidth="1"/>
    <col min="14" max="14" width="12.140625" bestFit="1" customWidth="1"/>
    <col min="17" max="17" width="10.85546875" bestFit="1" customWidth="1"/>
    <col min="23" max="23" width="10.85546875" bestFit="1" customWidth="1"/>
  </cols>
  <sheetData>
    <row r="1" spans="2:24" x14ac:dyDescent="0.25">
      <c r="F1" s="16"/>
      <c r="G1" s="16"/>
      <c r="H1" s="16"/>
    </row>
    <row r="2" spans="2:24" x14ac:dyDescent="0.25">
      <c r="B2" s="16" t="s">
        <v>36</v>
      </c>
      <c r="F2" s="16">
        <f>IF(COUNTIF($G$2:G2,G2)=1,F1+1,F1)</f>
        <v>1</v>
      </c>
      <c r="G2" s="16" t="s">
        <v>21</v>
      </c>
      <c r="H2" s="16" t="str">
        <f>IFERROR(VLOOKUP(ROWS($G$2:G2),$F$2:$G$22,2,0),"")</f>
        <v>Mental Health</v>
      </c>
      <c r="K2" s="16" t="str">
        <f>H2</f>
        <v>Mental Health</v>
      </c>
      <c r="L2">
        <f>SUMPRODUCT((COUNTIF(Table2[],K2)))</f>
        <v>3</v>
      </c>
      <c r="N2" s="16" t="s">
        <v>28</v>
      </c>
      <c r="O2" s="16">
        <f>SUMPRODUCT((COUNTIF(Table2[Task],N2)))</f>
        <v>17</v>
      </c>
      <c r="Q2" t="str">
        <f>IFERROR(TEXT(Table2[Date],"MMMM"),"")</f>
        <v>September</v>
      </c>
      <c r="S2">
        <f>IF(Q2&lt;&gt;"",COUNTIF($Q$2:Q2,Q2),"")</f>
        <v>1</v>
      </c>
      <c r="T2">
        <f>IF(S2=1,S2+ROWS($S$2:S2)/1000)</f>
        <v>1.0009999999999999</v>
      </c>
      <c r="U2">
        <f>IFERROR(SMALL($T$2:$T$89,ROWS($T$2:T2)),"")</f>
        <v>1.0009999999999999</v>
      </c>
      <c r="W2" t="str">
        <f>IFERROR(INDEX($Q$2:$Q$103,MATCH(U2,$T$2:$T$103,0),1),"")</f>
        <v>September</v>
      </c>
      <c r="X2">
        <f>COUNTIF($Q$2:$Q$103,W2)</f>
        <v>8</v>
      </c>
    </row>
    <row r="3" spans="2:24" x14ac:dyDescent="0.25">
      <c r="B3" s="16" t="s">
        <v>37</v>
      </c>
      <c r="F3" s="16">
        <f>IF(COUNTIF($G$2:G3,G3)=1,F2+1,F2)</f>
        <v>2</v>
      </c>
      <c r="G3" s="16" t="s">
        <v>22</v>
      </c>
      <c r="H3" s="16" t="str">
        <f>IFERROR(VLOOKUP(ROWS($G$2:G3),$F$2:$G$22,2,0),"")</f>
        <v>Physical Health</v>
      </c>
      <c r="K3" s="16" t="str">
        <f t="shared" ref="K3:K6" si="0">H3</f>
        <v>Physical Health</v>
      </c>
      <c r="L3">
        <f>SUMPRODUCT((COUNTIF(Table2[],K3)))</f>
        <v>10</v>
      </c>
      <c r="N3" s="16" t="s">
        <v>1</v>
      </c>
      <c r="O3" s="16">
        <f>SUMPRODUCT((COUNTIF(Table2[Task],N3)))</f>
        <v>7</v>
      </c>
      <c r="Q3" t="str">
        <f>IFERROR(TEXT(Table2[Date],"MMMM"),"")</f>
        <v>September</v>
      </c>
      <c r="S3">
        <f>IF(Q3&lt;&gt;"",COUNTIF($Q$2:Q3,Q3),"")</f>
        <v>2</v>
      </c>
      <c r="T3" t="b">
        <f>IF(S3=1,S3+ROWS($S$2:S3)/1000)</f>
        <v>0</v>
      </c>
      <c r="U3">
        <f>IFERROR(SMALL($T$2:$T$89,ROWS($T$2:T3)),"")</f>
        <v>1.0049999999999999</v>
      </c>
      <c r="W3" t="str">
        <f t="shared" ref="W3:W66" si="1">IFERROR(INDEX($Q$2:$Q$103,MATCH(U3,$T$2:$T$103,0),1),"")</f>
        <v>August</v>
      </c>
      <c r="X3">
        <f>COUNTIF($Q$2:$Q$103,W3)</f>
        <v>16</v>
      </c>
    </row>
    <row r="4" spans="2:24" x14ac:dyDescent="0.25">
      <c r="F4" s="16">
        <f>IF(COUNTIF($G$2:G4,G4)=1,F3+1,F3)</f>
        <v>3</v>
      </c>
      <c r="G4" s="16" t="s">
        <v>24</v>
      </c>
      <c r="H4" s="16" t="str">
        <f>IFERROR(VLOOKUP(ROWS($G$2:G4),$F$2:$G$22,2,0),"")</f>
        <v>Reading</v>
      </c>
      <c r="K4" s="16" t="str">
        <f t="shared" si="0"/>
        <v>Reading</v>
      </c>
      <c r="L4">
        <f>SUMPRODUCT((COUNTIF(Table2[],K4)))</f>
        <v>4</v>
      </c>
      <c r="Q4" t="str">
        <f>IFERROR(TEXT(Table2[Date],"MMMM"),"")</f>
        <v>September</v>
      </c>
      <c r="S4">
        <f>IF(Q4&lt;&gt;"",COUNTIF($Q$2:Q4,Q4),"")</f>
        <v>3</v>
      </c>
      <c r="T4" t="b">
        <f>IF(S4=1,S4+ROWS($S$2:S4)/1000)</f>
        <v>0</v>
      </c>
      <c r="U4" t="str">
        <f>IFERROR(SMALL($T$2:$T$89,ROWS($T$2:T4)),"")</f>
        <v/>
      </c>
      <c r="W4" t="str">
        <f t="shared" si="1"/>
        <v/>
      </c>
    </row>
    <row r="5" spans="2:24" x14ac:dyDescent="0.25">
      <c r="F5" s="16">
        <f>IF(COUNTIF($G$2:G5,G5)=1,F4+1,F4)</f>
        <v>4</v>
      </c>
      <c r="G5" s="16" t="s">
        <v>23</v>
      </c>
      <c r="H5" s="16" t="str">
        <f>IFERROR(VLOOKUP(ROWS($G$2:G5),$F$2:$G$22,2,0),"")</f>
        <v>Studying</v>
      </c>
      <c r="K5" s="16" t="str">
        <f t="shared" si="0"/>
        <v>Studying</v>
      </c>
      <c r="L5">
        <f>SUMPRODUCT((COUNTIF(Table2[],K5)))</f>
        <v>7</v>
      </c>
      <c r="Q5" t="str">
        <f>IFERROR(TEXT(Table2[Date],"MMMM"),"")</f>
        <v>September</v>
      </c>
      <c r="S5">
        <f>IF(Q5&lt;&gt;"",COUNTIF($Q$2:Q5,Q5),"")</f>
        <v>4</v>
      </c>
      <c r="T5" t="b">
        <f>IF(S5=1,S5+ROWS($S$2:S5)/1000)</f>
        <v>0</v>
      </c>
      <c r="U5" t="str">
        <f>IFERROR(SMALL($T$2:$T$89,ROWS($T$2:T5)),"")</f>
        <v/>
      </c>
      <c r="W5" t="str">
        <f t="shared" si="1"/>
        <v/>
      </c>
    </row>
    <row r="6" spans="2:24" x14ac:dyDescent="0.25">
      <c r="F6" s="16">
        <f>IF(COUNTIF($G$2:G6,G6)=1,F5+1,F5)</f>
        <v>4</v>
      </c>
      <c r="G6" s="16" t="s">
        <v>21</v>
      </c>
      <c r="H6" s="16" t="str">
        <f>IFERROR(VLOOKUP(ROWS($G$2:G6),$F$2:$G$22,2,0),"")</f>
        <v/>
      </c>
      <c r="K6" t="str">
        <f t="shared" si="0"/>
        <v/>
      </c>
      <c r="Q6" t="str">
        <f>IFERROR(TEXT(Table2[Date],"MMMM"),"")</f>
        <v>August</v>
      </c>
      <c r="S6">
        <f>IF(Q6&lt;&gt;"",COUNTIF($Q$2:Q6,Q6),"")</f>
        <v>1</v>
      </c>
      <c r="T6">
        <f>IF(S6=1,S6+ROWS($S$2:S6)/1000)</f>
        <v>1.0049999999999999</v>
      </c>
      <c r="U6" t="str">
        <f>IFERROR(SMALL($T$2:$T$89,ROWS($T$2:T6)),"")</f>
        <v/>
      </c>
      <c r="W6" t="str">
        <f t="shared" si="1"/>
        <v/>
      </c>
    </row>
    <row r="7" spans="2:24" x14ac:dyDescent="0.25">
      <c r="F7" s="16">
        <f>IF(COUNTIF($G$2:G7,G7)=1,F6+1,F6)</f>
        <v>4</v>
      </c>
      <c r="G7" s="16" t="s">
        <v>22</v>
      </c>
      <c r="H7" s="16" t="str">
        <f>IFERROR(VLOOKUP(ROWS($G$2:G7),$F$2:$G$22,2,0),"")</f>
        <v/>
      </c>
      <c r="Q7" t="str">
        <f>IFERROR(TEXT(Table2[Date],"MMMM"),"")</f>
        <v>August</v>
      </c>
      <c r="S7">
        <f>IF(Q7&lt;&gt;"",COUNTIF($Q$2:Q7,Q7),"")</f>
        <v>2</v>
      </c>
      <c r="T7" t="b">
        <f>IF(S7=1,S7+ROWS($S$2:S7)/1000)</f>
        <v>0</v>
      </c>
      <c r="U7" t="str">
        <f>IFERROR(SMALL($T$2:$T$89,ROWS($T$2:T7)),"")</f>
        <v/>
      </c>
      <c r="W7" t="str">
        <f t="shared" si="1"/>
        <v/>
      </c>
    </row>
    <row r="8" spans="2:24" x14ac:dyDescent="0.25">
      <c r="F8" s="16">
        <f>IF(COUNTIF($G$2:G8,G8)=1,F7+1,F7)</f>
        <v>4</v>
      </c>
      <c r="G8" s="16" t="s">
        <v>22</v>
      </c>
      <c r="H8" s="16" t="str">
        <f>IFERROR(VLOOKUP(ROWS($G$2:G8),$F$2:$G$22,2,0),"")</f>
        <v/>
      </c>
      <c r="Q8" t="str">
        <f>IFERROR(TEXT(Table2[Date],"MMMM"),"")</f>
        <v>August</v>
      </c>
      <c r="S8">
        <f>IF(Q8&lt;&gt;"",COUNTIF($Q$2:Q8,Q8),"")</f>
        <v>3</v>
      </c>
      <c r="T8" t="b">
        <f>IF(S8=1,S8+ROWS($S$2:S8)/1000)</f>
        <v>0</v>
      </c>
      <c r="U8" t="str">
        <f>IFERROR(SMALL($T$2:$T$89,ROWS($T$2:T8)),"")</f>
        <v/>
      </c>
      <c r="W8" t="str">
        <f t="shared" si="1"/>
        <v/>
      </c>
    </row>
    <row r="9" spans="2:24" x14ac:dyDescent="0.25">
      <c r="F9" s="16">
        <f>IF(COUNTIF($G$2:G9,G9)=1,F8+1,F8)</f>
        <v>4</v>
      </c>
      <c r="G9" s="16" t="s">
        <v>23</v>
      </c>
      <c r="H9" s="16" t="str">
        <f>IFERROR(VLOOKUP(ROWS($G$2:G9),$F$2:$G$22,2,0),"")</f>
        <v/>
      </c>
      <c r="Q9" t="str">
        <f>IFERROR(TEXT(Table2[Date],"MMMM"),"")</f>
        <v>August</v>
      </c>
      <c r="S9">
        <f>IF(Q9&lt;&gt;"",COUNTIF($Q$2:Q9,Q9),"")</f>
        <v>4</v>
      </c>
      <c r="T9" t="b">
        <f>IF(S9=1,S9+ROWS($S$2:S9)/1000)</f>
        <v>0</v>
      </c>
      <c r="U9" t="str">
        <f>IFERROR(SMALL($T$2:$T$89,ROWS($T$2:T9)),"")</f>
        <v/>
      </c>
      <c r="W9" t="str">
        <f t="shared" si="1"/>
        <v/>
      </c>
    </row>
    <row r="10" spans="2:24" x14ac:dyDescent="0.25">
      <c r="F10" s="16">
        <f>IF(COUNTIF($G$2:G10,G10)=1,F9+1,F9)</f>
        <v>4</v>
      </c>
      <c r="G10" s="16" t="s">
        <v>23</v>
      </c>
      <c r="H10" s="16" t="str">
        <f>IFERROR(VLOOKUP(ROWS($G$2:G10),$F$2:$G$22,2,0),"")</f>
        <v/>
      </c>
      <c r="Q10" t="str">
        <f>IFERROR(TEXT(Table2[Date],"MMMM"),"")</f>
        <v>August</v>
      </c>
      <c r="S10">
        <f>IF(Q10&lt;&gt;"",COUNTIF($Q$2:Q10,Q10),"")</f>
        <v>5</v>
      </c>
      <c r="T10" t="b">
        <f>IF(S10=1,S10+ROWS($S$2:S10)/1000)</f>
        <v>0</v>
      </c>
      <c r="U10" t="str">
        <f>IFERROR(SMALL($T$2:$T$89,ROWS($T$2:T10)),"")</f>
        <v/>
      </c>
      <c r="W10" t="str">
        <f t="shared" si="1"/>
        <v/>
      </c>
    </row>
    <row r="11" spans="2:24" x14ac:dyDescent="0.25">
      <c r="F11" s="16">
        <f>IF(COUNTIF($G$2:G11,G11)=1,F10+1,F10)</f>
        <v>4</v>
      </c>
      <c r="G11" s="16" t="s">
        <v>24</v>
      </c>
      <c r="H11" s="16" t="str">
        <f>IFERROR(VLOOKUP(ROWS($G$2:G11),$F$2:$G$22,2,0),"")</f>
        <v/>
      </c>
      <c r="Q11" t="str">
        <f>IFERROR(TEXT(Table2[Date],"MMMM"),"")</f>
        <v>August</v>
      </c>
      <c r="S11">
        <f>IF(Q11&lt;&gt;"",COUNTIF($Q$2:Q11,Q11),"")</f>
        <v>6</v>
      </c>
      <c r="T11" t="b">
        <f>IF(S11=1,S11+ROWS($S$2:S11)/1000)</f>
        <v>0</v>
      </c>
      <c r="U11" t="str">
        <f>IFERROR(SMALL($T$2:$T$89,ROWS($T$2:T11)),"")</f>
        <v/>
      </c>
      <c r="W11" t="str">
        <f t="shared" si="1"/>
        <v/>
      </c>
    </row>
    <row r="12" spans="2:24" x14ac:dyDescent="0.25">
      <c r="F12" s="16">
        <f>IF(COUNTIF($G$2:G12,G12)=1,F11+1,F11)</f>
        <v>4</v>
      </c>
      <c r="G12" s="16" t="s">
        <v>22</v>
      </c>
      <c r="H12" s="16" t="str">
        <f>IFERROR(VLOOKUP(ROWS($G$2:G12),$F$2:$G$22,2,0),"")</f>
        <v/>
      </c>
      <c r="Q12" t="str">
        <f>IFERROR(TEXT(Table2[Date],"MMMM"),"")</f>
        <v>August</v>
      </c>
      <c r="S12">
        <f>IF(Q12&lt;&gt;"",COUNTIF($Q$2:Q12,Q12),"")</f>
        <v>7</v>
      </c>
      <c r="T12" t="b">
        <f>IF(S12=1,S12+ROWS($S$2:S12)/1000)</f>
        <v>0</v>
      </c>
      <c r="U12" t="str">
        <f>IFERROR(SMALL($T$2:$T$89,ROWS($T$2:T12)),"")</f>
        <v/>
      </c>
      <c r="W12" t="str">
        <f t="shared" si="1"/>
        <v/>
      </c>
    </row>
    <row r="13" spans="2:24" x14ac:dyDescent="0.25">
      <c r="F13" s="16">
        <f>IF(COUNTIF($G$2:G13,G13)=1,F12+1,F12)</f>
        <v>4</v>
      </c>
      <c r="G13" s="16" t="s">
        <v>22</v>
      </c>
      <c r="H13" s="16" t="str">
        <f>IFERROR(VLOOKUP(ROWS($G$2:G13),$F$2:$G$22,2,0),"")</f>
        <v/>
      </c>
      <c r="Q13" t="str">
        <f>IFERROR(TEXT(Table2[Date],"MMMM"),"")</f>
        <v>August</v>
      </c>
      <c r="S13">
        <f>IF(Q13&lt;&gt;"",COUNTIF($Q$2:Q13,Q13),"")</f>
        <v>8</v>
      </c>
      <c r="T13" t="b">
        <f>IF(S13=1,S13+ROWS($S$2:S13)/1000)</f>
        <v>0</v>
      </c>
      <c r="U13" t="str">
        <f>IFERROR(SMALL($T$2:$T$89,ROWS($T$2:T13)),"")</f>
        <v/>
      </c>
      <c r="W13" t="str">
        <f t="shared" si="1"/>
        <v/>
      </c>
    </row>
    <row r="14" spans="2:24" x14ac:dyDescent="0.25">
      <c r="F14" s="16">
        <f>IF(COUNTIF($G$2:G14,G14)=1,F13+1,F13)</f>
        <v>4</v>
      </c>
      <c r="G14" s="16" t="s">
        <v>21</v>
      </c>
      <c r="H14" s="16" t="str">
        <f>IFERROR(VLOOKUP(ROWS($G$2:G14),$F$2:$G$22,2,0),"")</f>
        <v/>
      </c>
      <c r="Q14" t="str">
        <f>IFERROR(TEXT(Table2[Date],"MMMM"),"")</f>
        <v>August</v>
      </c>
      <c r="S14">
        <f>IF(Q14&lt;&gt;"",COUNTIF($Q$2:Q14,Q14),"")</f>
        <v>9</v>
      </c>
      <c r="T14" t="b">
        <f>IF(S14=1,S14+ROWS($S$2:S14)/1000)</f>
        <v>0</v>
      </c>
      <c r="U14" t="str">
        <f>IFERROR(SMALL($T$2:$T$89,ROWS($T$2:T14)),"")</f>
        <v/>
      </c>
      <c r="W14" t="str">
        <f t="shared" si="1"/>
        <v/>
      </c>
    </row>
    <row r="15" spans="2:24" x14ac:dyDescent="0.25">
      <c r="F15" s="16">
        <f>IF(COUNTIF($G$2:G15,G15)=1,F14+1,F14)</f>
        <v>4</v>
      </c>
      <c r="G15" s="16" t="s">
        <v>22</v>
      </c>
      <c r="H15" s="16" t="str">
        <f>IFERROR(VLOOKUP(ROWS($G$2:G15),$F$2:$G$22,2,0),"")</f>
        <v/>
      </c>
      <c r="Q15" t="str">
        <f>IFERROR(TEXT(Table2[Date],"MMMM"),"")</f>
        <v>August</v>
      </c>
      <c r="S15">
        <f>IF(Q15&lt;&gt;"",COUNTIF($Q$2:Q15,Q15),"")</f>
        <v>10</v>
      </c>
      <c r="T15" t="b">
        <f>IF(S15=1,S15+ROWS($S$2:S15)/1000)</f>
        <v>0</v>
      </c>
      <c r="U15" t="str">
        <f>IFERROR(SMALL($T$2:$T$89,ROWS($T$2:T15)),"")</f>
        <v/>
      </c>
      <c r="W15" t="str">
        <f t="shared" si="1"/>
        <v/>
      </c>
    </row>
    <row r="16" spans="2:24" x14ac:dyDescent="0.25">
      <c r="F16" s="16">
        <f>IF(COUNTIF($G$2:G16,G16)=1,F15+1,F15)</f>
        <v>4</v>
      </c>
      <c r="G16" s="16" t="s">
        <v>22</v>
      </c>
      <c r="H16" s="16" t="str">
        <f>IFERROR(VLOOKUP(ROWS($G$2:G16),$F$2:$G$22,2,0),"")</f>
        <v/>
      </c>
      <c r="Q16" t="str">
        <f>IFERROR(TEXT(Table2[Date],"MMMM"),"")</f>
        <v>August</v>
      </c>
      <c r="S16">
        <f>IF(Q16&lt;&gt;"",COUNTIF($Q$2:Q16,Q16),"")</f>
        <v>11</v>
      </c>
      <c r="T16" t="b">
        <f>IF(S16=1,S16+ROWS($S$2:S16)/1000)</f>
        <v>0</v>
      </c>
      <c r="U16" t="str">
        <f>IFERROR(SMALL($T$2:$T$89,ROWS($T$2:T16)),"")</f>
        <v/>
      </c>
      <c r="W16" t="str">
        <f t="shared" si="1"/>
        <v/>
      </c>
    </row>
    <row r="17" spans="6:23" x14ac:dyDescent="0.25">
      <c r="F17" s="16">
        <f>IF(COUNTIF($G$2:G17,G17)=1,F16+1,F16)</f>
        <v>4</v>
      </c>
      <c r="G17" s="16" t="s">
        <v>23</v>
      </c>
      <c r="H17" s="16" t="str">
        <f>IFERROR(VLOOKUP(ROWS($G$2:G17),$F$2:$G$22,2,0),"")</f>
        <v/>
      </c>
      <c r="Q17" t="str">
        <f>IFERROR(TEXT(Table2[Date],"MMMM"),"")</f>
        <v>August</v>
      </c>
      <c r="S17">
        <f>IF(Q17&lt;&gt;"",COUNTIF($Q$2:Q17,Q17),"")</f>
        <v>12</v>
      </c>
      <c r="T17" t="b">
        <f>IF(S17=1,S17+ROWS($S$2:S17)/1000)</f>
        <v>0</v>
      </c>
      <c r="U17" t="str">
        <f>IFERROR(SMALL($T$2:$T$89,ROWS($T$2:T17)),"")</f>
        <v/>
      </c>
      <c r="W17" t="str">
        <f t="shared" si="1"/>
        <v/>
      </c>
    </row>
    <row r="18" spans="6:23" x14ac:dyDescent="0.25">
      <c r="F18" s="16">
        <f>IF(COUNTIF($G$2:G18,G18)=1,F17+1,F17)</f>
        <v>4</v>
      </c>
      <c r="G18" s="16" t="s">
        <v>23</v>
      </c>
      <c r="H18" s="16" t="str">
        <f>IFERROR(VLOOKUP(ROWS($G$2:G18),$F$2:$G$22,2,0),"")</f>
        <v/>
      </c>
      <c r="Q18" t="str">
        <f>IFERROR(TEXT(Table2[Date],"MMMM"),"")</f>
        <v>August</v>
      </c>
      <c r="S18">
        <f>IF(Q18&lt;&gt;"",COUNTIF($Q$2:Q18,Q18),"")</f>
        <v>13</v>
      </c>
      <c r="T18" t="b">
        <f>IF(S18=1,S18+ROWS($S$2:S18)/1000)</f>
        <v>0</v>
      </c>
      <c r="U18" t="str">
        <f>IFERROR(SMALL($T$2:$T$89,ROWS($T$2:T18)),"")</f>
        <v/>
      </c>
      <c r="W18" t="str">
        <f t="shared" si="1"/>
        <v/>
      </c>
    </row>
    <row r="19" spans="6:23" x14ac:dyDescent="0.25">
      <c r="F19" s="16">
        <f>IF(COUNTIF($G$2:G19,G19)=1,F18+1,F18)</f>
        <v>4</v>
      </c>
      <c r="G19" s="16" t="s">
        <v>22</v>
      </c>
      <c r="H19" s="16" t="str">
        <f>IFERROR(VLOOKUP(ROWS($G$2:G19),$F$2:$G$22,2,0),"")</f>
        <v/>
      </c>
      <c r="Q19" t="str">
        <f>IFERROR(TEXT(Table2[Date],"MMMM"),"")</f>
        <v>August</v>
      </c>
      <c r="S19">
        <f>IF(Q19&lt;&gt;"",COUNTIF($Q$2:Q19,Q19),"")</f>
        <v>14</v>
      </c>
      <c r="T19" t="b">
        <f>IF(S19=1,S19+ROWS($S$2:S19)/1000)</f>
        <v>0</v>
      </c>
      <c r="U19" t="str">
        <f>IFERROR(SMALL($T$2:$T$89,ROWS($T$2:T19)),"")</f>
        <v/>
      </c>
      <c r="W19" t="str">
        <f t="shared" si="1"/>
        <v/>
      </c>
    </row>
    <row r="20" spans="6:23" x14ac:dyDescent="0.25">
      <c r="F20" s="16">
        <f>IF(COUNTIF($G$2:G20,G20)=1,F19+1,F19)</f>
        <v>4</v>
      </c>
      <c r="G20" s="16" t="s">
        <v>24</v>
      </c>
      <c r="H20" s="16" t="str">
        <f>IFERROR(VLOOKUP(ROWS($G$2:G20),$F$2:$G$22,2,0),"")</f>
        <v/>
      </c>
      <c r="Q20" t="str">
        <f>IFERROR(TEXT(Table2[Date],"MMMM"),"")</f>
        <v>August</v>
      </c>
      <c r="S20">
        <f>IF(Q20&lt;&gt;"",COUNTIF($Q$2:Q20,Q20),"")</f>
        <v>15</v>
      </c>
      <c r="T20" t="b">
        <f>IF(S20=1,S20+ROWS($S$2:S20)/1000)</f>
        <v>0</v>
      </c>
      <c r="U20" t="str">
        <f>IFERROR(SMALL($T$2:$T$89,ROWS($T$2:T20)),"")</f>
        <v/>
      </c>
      <c r="W20" t="str">
        <f t="shared" si="1"/>
        <v/>
      </c>
    </row>
    <row r="21" spans="6:23" x14ac:dyDescent="0.25">
      <c r="F21" s="16">
        <f>IF(COUNTIF($G$2:G21,G21)=1,F20+1,F20)</f>
        <v>4</v>
      </c>
      <c r="G21" s="16" t="s">
        <v>24</v>
      </c>
      <c r="H21" s="16" t="str">
        <f>IFERROR(VLOOKUP(ROWS($G$2:G21),$F$2:$G$22,2,0),"")</f>
        <v/>
      </c>
      <c r="Q21" t="str">
        <f>IFERROR(TEXT(Table2[Date],"MMMM"),"")</f>
        <v>August</v>
      </c>
      <c r="S21">
        <f>IF(Q21&lt;&gt;"",COUNTIF($Q$2:Q21,Q21),"")</f>
        <v>16</v>
      </c>
      <c r="T21" t="b">
        <f>IF(S21=1,S21+ROWS($S$2:S21)/1000)</f>
        <v>0</v>
      </c>
      <c r="U21" t="str">
        <f>IFERROR(SMALL($T$2:$T$89,ROWS($T$2:T21)),"")</f>
        <v/>
      </c>
      <c r="W21" t="str">
        <f t="shared" si="1"/>
        <v/>
      </c>
    </row>
    <row r="22" spans="6:23" x14ac:dyDescent="0.25">
      <c r="F22" s="16">
        <f>IF(COUNTIF($G$2:G22,G22)=1,F21+1,F21)</f>
        <v>4</v>
      </c>
      <c r="G22" s="16" t="s">
        <v>22</v>
      </c>
      <c r="H22" s="16" t="str">
        <f>IFERROR(VLOOKUP(ROWS($G$2:G22),$F$2:$G$22,2,0),"")</f>
        <v/>
      </c>
      <c r="Q22" t="str">
        <f>IFERROR(TEXT(Table2[Date],"MMMM"),"")</f>
        <v>September</v>
      </c>
      <c r="S22">
        <f>IF(Q22&lt;&gt;"",COUNTIF($Q$2:Q22,Q22),"")</f>
        <v>5</v>
      </c>
      <c r="T22" t="b">
        <f>IF(S22=1,S22+ROWS($S$2:S22)/1000)</f>
        <v>0</v>
      </c>
      <c r="U22" t="str">
        <f>IFERROR(SMALL($T$2:$T$89,ROWS($T$2:T22)),"")</f>
        <v/>
      </c>
      <c r="W22" t="str">
        <f t="shared" si="1"/>
        <v/>
      </c>
    </row>
    <row r="23" spans="6:23" x14ac:dyDescent="0.25">
      <c r="Q23" t="str">
        <f>IFERROR(TEXT(Table2[Date],"MMMM"),"")</f>
        <v>September</v>
      </c>
      <c r="S23">
        <f>IF(Q23&lt;&gt;"",COUNTIF($Q$2:Q23,Q23),"")</f>
        <v>6</v>
      </c>
      <c r="T23" t="b">
        <f>IF(S23=1,S23+ROWS($S$2:S23)/1000)</f>
        <v>0</v>
      </c>
      <c r="U23" t="str">
        <f>IFERROR(SMALL($T$2:$T$89,ROWS($T$2:T23)),"")</f>
        <v/>
      </c>
      <c r="W23" t="str">
        <f t="shared" si="1"/>
        <v/>
      </c>
    </row>
    <row r="24" spans="6:23" x14ac:dyDescent="0.25">
      <c r="Q24" t="str">
        <f>IFERROR(TEXT(Table2[Date],"MMMM"),"")</f>
        <v>September</v>
      </c>
      <c r="S24">
        <f>IF(Q24&lt;&gt;"",COUNTIF($Q$2:Q24,Q24),"")</f>
        <v>7</v>
      </c>
      <c r="T24" t="b">
        <f>IF(S24=1,S24+ROWS($S$2:S24)/1000)</f>
        <v>0</v>
      </c>
      <c r="U24" t="str">
        <f>IFERROR(SMALL($T$2:$T$89,ROWS($T$2:T24)),"")</f>
        <v/>
      </c>
      <c r="W24" t="str">
        <f t="shared" si="1"/>
        <v/>
      </c>
    </row>
    <row r="25" spans="6:23" x14ac:dyDescent="0.25">
      <c r="Q25" t="str">
        <f>IFERROR(TEXT(Table2[Date],"MMMM"),"")</f>
        <v>September</v>
      </c>
      <c r="S25">
        <f>IF(Q25&lt;&gt;"",COUNTIF($Q$2:Q25,Q25),"")</f>
        <v>8</v>
      </c>
      <c r="T25" t="b">
        <f>IF(S25=1,S25+ROWS($S$2:S25)/1000)</f>
        <v>0</v>
      </c>
      <c r="U25" t="str">
        <f>IFERROR(SMALL($T$2:$T$89,ROWS($T$2:T25)),"")</f>
        <v/>
      </c>
      <c r="W25" t="str">
        <f t="shared" si="1"/>
        <v/>
      </c>
    </row>
    <row r="26" spans="6:23" x14ac:dyDescent="0.25">
      <c r="Q26" t="str">
        <f>IFERROR(TEXT(Table2[Date],"MMMM"),"")</f>
        <v/>
      </c>
      <c r="S26" t="str">
        <f>IF(Q26&lt;&gt;"",COUNTIF($Q$2:Q26,Q26),"")</f>
        <v/>
      </c>
      <c r="T26" t="b">
        <f>IF(S26=1,S26+ROWS($S$2:S26)/1000)</f>
        <v>0</v>
      </c>
      <c r="U26" t="str">
        <f>IFERROR(SMALL($T$2:$T$89,ROWS($T$2:T26)),"")</f>
        <v/>
      </c>
      <c r="W26" t="str">
        <f t="shared" si="1"/>
        <v/>
      </c>
    </row>
    <row r="27" spans="6:23" x14ac:dyDescent="0.25">
      <c r="Q27" t="str">
        <f>IFERROR(TEXT(Table2[Date],"MMMM"),"")</f>
        <v/>
      </c>
      <c r="S27" t="str">
        <f>IF(Q27&lt;&gt;"",COUNTIF($Q$2:Q27,Q27),"")</f>
        <v/>
      </c>
      <c r="T27" t="b">
        <f>IF(S27=1,S27+ROWS($S$2:S27)/1000)</f>
        <v>0</v>
      </c>
      <c r="U27" t="str">
        <f>IFERROR(SMALL($T$2:$T$89,ROWS($T$2:T27)),"")</f>
        <v/>
      </c>
      <c r="W27" t="str">
        <f t="shared" si="1"/>
        <v/>
      </c>
    </row>
    <row r="28" spans="6:23" x14ac:dyDescent="0.25">
      <c r="Q28" t="str">
        <f>IFERROR(TEXT(Table2[Date],"MMMM"),"")</f>
        <v/>
      </c>
      <c r="S28" t="str">
        <f>IF(Q28&lt;&gt;"",COUNTIF($Q$2:Q28,Q28),"")</f>
        <v/>
      </c>
      <c r="T28" t="b">
        <f>IF(S28=1,S28+ROWS($S$2:S28)/1000)</f>
        <v>0</v>
      </c>
      <c r="U28" t="str">
        <f>IFERROR(SMALL($T$2:$T$89,ROWS($T$2:T28)),"")</f>
        <v/>
      </c>
      <c r="W28" t="str">
        <f t="shared" si="1"/>
        <v/>
      </c>
    </row>
    <row r="29" spans="6:23" x14ac:dyDescent="0.25">
      <c r="Q29" t="str">
        <f>IFERROR(TEXT(Table2[Date],"MMMM"),"")</f>
        <v/>
      </c>
      <c r="S29" t="str">
        <f>IF(Q29&lt;&gt;"",COUNTIF($Q$2:Q29,Q29),"")</f>
        <v/>
      </c>
      <c r="T29" t="b">
        <f>IF(S29=1,S29+ROWS($S$2:S29)/1000)</f>
        <v>0</v>
      </c>
      <c r="U29" t="str">
        <f>IFERROR(SMALL($T$2:$T$89,ROWS($T$2:T29)),"")</f>
        <v/>
      </c>
      <c r="W29" t="str">
        <f t="shared" si="1"/>
        <v/>
      </c>
    </row>
    <row r="30" spans="6:23" x14ac:dyDescent="0.25">
      <c r="Q30" t="str">
        <f>IFERROR(TEXT(Table2[Date],"MMMM"),"")</f>
        <v/>
      </c>
      <c r="S30" t="str">
        <f>IF(Q30&lt;&gt;"",COUNTIF($Q$2:Q30,Q30),"")</f>
        <v/>
      </c>
      <c r="T30" t="b">
        <f>IF(S30=1,S30+ROWS($S$2:S30)/1000)</f>
        <v>0</v>
      </c>
      <c r="U30" t="str">
        <f>IFERROR(SMALL($T$2:$T$89,ROWS($T$2:T30)),"")</f>
        <v/>
      </c>
      <c r="W30" t="str">
        <f t="shared" si="1"/>
        <v/>
      </c>
    </row>
    <row r="31" spans="6:23" x14ac:dyDescent="0.25">
      <c r="Q31" t="str">
        <f>IFERROR(TEXT(Table2[Date],"MMMM"),"")</f>
        <v/>
      </c>
      <c r="S31" t="str">
        <f>IF(Q31&lt;&gt;"",COUNTIF($Q$2:Q31,Q31),"")</f>
        <v/>
      </c>
      <c r="T31" t="b">
        <f>IF(S31=1,S31+ROWS($S$2:S31)/1000)</f>
        <v>0</v>
      </c>
      <c r="U31" t="str">
        <f>IFERROR(SMALL($T$2:$T$89,ROWS($T$2:T31)),"")</f>
        <v/>
      </c>
      <c r="W31" t="str">
        <f t="shared" si="1"/>
        <v/>
      </c>
    </row>
    <row r="32" spans="6:23" x14ac:dyDescent="0.25">
      <c r="Q32" t="str">
        <f>IFERROR(TEXT(Table2[Date],"MMMM"),"")</f>
        <v/>
      </c>
      <c r="S32" t="str">
        <f>IF(Q32&lt;&gt;"",COUNTIF($Q$2:Q32,Q32),"")</f>
        <v/>
      </c>
      <c r="T32" t="b">
        <f>IF(S32=1,S32+ROWS($S$2:S32)/1000)</f>
        <v>0</v>
      </c>
      <c r="U32" t="str">
        <f>IFERROR(SMALL($T$2:$T$89,ROWS($T$2:T32)),"")</f>
        <v/>
      </c>
      <c r="W32" t="str">
        <f t="shared" si="1"/>
        <v/>
      </c>
    </row>
    <row r="33" spans="17:23" x14ac:dyDescent="0.25">
      <c r="Q33" t="str">
        <f>IFERROR(TEXT(Table2[Date],"MMMM"),"")</f>
        <v/>
      </c>
      <c r="S33" t="str">
        <f>IF(Q33&lt;&gt;"",COUNTIF($Q$2:Q33,Q33),"")</f>
        <v/>
      </c>
      <c r="T33" t="b">
        <f>IF(S33=1,S33+ROWS($S$2:S33)/1000)</f>
        <v>0</v>
      </c>
      <c r="U33" t="str">
        <f>IFERROR(SMALL($T$2:$T$89,ROWS($T$2:T33)),"")</f>
        <v/>
      </c>
      <c r="W33" t="str">
        <f t="shared" si="1"/>
        <v/>
      </c>
    </row>
    <row r="34" spans="17:23" x14ac:dyDescent="0.25">
      <c r="Q34" t="str">
        <f>IFERROR(TEXT(Table2[Date],"MMMM"),"")</f>
        <v/>
      </c>
      <c r="S34" t="str">
        <f>IF(Q34&lt;&gt;"",COUNTIF($Q$2:Q34,Q34),"")</f>
        <v/>
      </c>
      <c r="T34" t="b">
        <f>IF(S34=1,S34+ROWS($S$2:S34)/1000)</f>
        <v>0</v>
      </c>
      <c r="U34" t="str">
        <f>IFERROR(SMALL($T$2:$T$89,ROWS($T$2:T34)),"")</f>
        <v/>
      </c>
      <c r="W34" t="str">
        <f t="shared" si="1"/>
        <v/>
      </c>
    </row>
    <row r="35" spans="17:23" x14ac:dyDescent="0.25">
      <c r="Q35" t="str">
        <f>IFERROR(TEXT(Table2[Date],"MMMM"),"")</f>
        <v/>
      </c>
      <c r="S35" t="str">
        <f>IF(Q35&lt;&gt;"",COUNTIF($Q$2:Q35,Q35),"")</f>
        <v/>
      </c>
      <c r="T35" t="b">
        <f>IF(S35=1,S35+ROWS($S$2:S35)/1000)</f>
        <v>0</v>
      </c>
      <c r="U35" t="str">
        <f>IFERROR(SMALL($T$2:$T$89,ROWS($T$2:T35)),"")</f>
        <v/>
      </c>
      <c r="W35" t="str">
        <f t="shared" si="1"/>
        <v/>
      </c>
    </row>
    <row r="36" spans="17:23" x14ac:dyDescent="0.25">
      <c r="Q36" t="str">
        <f>IFERROR(TEXT(Table2[Date],"MMMM"),"")</f>
        <v/>
      </c>
      <c r="S36" t="str">
        <f>IF(Q36&lt;&gt;"",COUNTIF($Q$2:Q36,Q36),"")</f>
        <v/>
      </c>
      <c r="T36" t="b">
        <f>IF(S36=1,S36+ROWS($S$2:S36)/1000)</f>
        <v>0</v>
      </c>
      <c r="U36" t="str">
        <f>IFERROR(SMALL($T$2:$T$89,ROWS($T$2:T36)),"")</f>
        <v/>
      </c>
      <c r="W36" t="str">
        <f t="shared" si="1"/>
        <v/>
      </c>
    </row>
    <row r="37" spans="17:23" x14ac:dyDescent="0.25">
      <c r="Q37" t="str">
        <f>IFERROR(TEXT(Table2[Date],"MMMM"),"")</f>
        <v/>
      </c>
      <c r="S37" t="str">
        <f>IF(Q37&lt;&gt;"",COUNTIF($Q$2:Q37,Q37),"")</f>
        <v/>
      </c>
      <c r="T37" t="b">
        <f>IF(S37=1,S37+ROWS($S$2:S37)/1000)</f>
        <v>0</v>
      </c>
      <c r="U37" t="str">
        <f>IFERROR(SMALL($T$2:$T$89,ROWS($T$2:T37)),"")</f>
        <v/>
      </c>
      <c r="W37" t="str">
        <f t="shared" si="1"/>
        <v/>
      </c>
    </row>
    <row r="38" spans="17:23" x14ac:dyDescent="0.25">
      <c r="Q38" t="str">
        <f>IFERROR(TEXT(Table2[Date],"MMMM"),"")</f>
        <v/>
      </c>
      <c r="S38" t="str">
        <f>IF(Q38&lt;&gt;"",COUNTIF($Q$2:Q38,Q38),"")</f>
        <v/>
      </c>
      <c r="T38" t="b">
        <f>IF(S38=1,S38+ROWS($S$2:S38)/1000)</f>
        <v>0</v>
      </c>
      <c r="U38" t="str">
        <f>IFERROR(SMALL($T$2:$T$89,ROWS($T$2:T38)),"")</f>
        <v/>
      </c>
      <c r="W38" t="str">
        <f t="shared" si="1"/>
        <v/>
      </c>
    </row>
    <row r="39" spans="17:23" x14ac:dyDescent="0.25">
      <c r="Q39" t="str">
        <f>IFERROR(TEXT(Table2[Date],"MMMM"),"")</f>
        <v/>
      </c>
      <c r="S39" t="str">
        <f>IF(Q39&lt;&gt;"",COUNTIF($Q$2:Q39,Q39),"")</f>
        <v/>
      </c>
      <c r="T39" t="b">
        <f>IF(S39=1,S39+ROWS($S$2:S39)/1000)</f>
        <v>0</v>
      </c>
      <c r="U39" t="str">
        <f>IFERROR(SMALL($T$2:$T$89,ROWS($T$2:T39)),"")</f>
        <v/>
      </c>
      <c r="W39" t="str">
        <f t="shared" si="1"/>
        <v/>
      </c>
    </row>
    <row r="40" spans="17:23" x14ac:dyDescent="0.25">
      <c r="Q40" t="str">
        <f>IFERROR(TEXT(Table2[Date],"MMMM"),"")</f>
        <v/>
      </c>
      <c r="S40" t="str">
        <f>IF(Q40&lt;&gt;"",COUNTIF($Q$2:Q40,Q40),"")</f>
        <v/>
      </c>
      <c r="T40" t="b">
        <f>IF(S40=1,S40+ROWS($S$2:S40)/1000)</f>
        <v>0</v>
      </c>
      <c r="U40" t="str">
        <f>IFERROR(SMALL($T$2:$T$89,ROWS($T$2:T40)),"")</f>
        <v/>
      </c>
      <c r="W40" t="str">
        <f t="shared" si="1"/>
        <v/>
      </c>
    </row>
    <row r="41" spans="17:23" x14ac:dyDescent="0.25">
      <c r="Q41" t="str">
        <f>IFERROR(TEXT(Table2[Date],"MMMM"),"")</f>
        <v/>
      </c>
      <c r="S41" t="str">
        <f>IF(Q41&lt;&gt;"",COUNTIF($Q$2:Q41,Q41),"")</f>
        <v/>
      </c>
      <c r="T41" t="b">
        <f>IF(S41=1,S41+ROWS($S$2:S41)/1000)</f>
        <v>0</v>
      </c>
      <c r="U41" t="str">
        <f>IFERROR(SMALL($T$2:$T$89,ROWS($T$2:T41)),"")</f>
        <v/>
      </c>
      <c r="W41" t="str">
        <f t="shared" si="1"/>
        <v/>
      </c>
    </row>
    <row r="42" spans="17:23" x14ac:dyDescent="0.25">
      <c r="Q42" t="str">
        <f>IFERROR(TEXT(Table2[Date],"MMMM"),"")</f>
        <v/>
      </c>
      <c r="S42" t="str">
        <f>IF(Q42&lt;&gt;"",COUNTIF($Q$2:Q42,Q42),"")</f>
        <v/>
      </c>
      <c r="T42" t="b">
        <f>IF(S42=1,S42+ROWS($S$2:S42)/1000)</f>
        <v>0</v>
      </c>
      <c r="U42" t="str">
        <f>IFERROR(SMALL($T$2:$T$89,ROWS($T$2:T42)),"")</f>
        <v/>
      </c>
      <c r="W42" t="str">
        <f t="shared" si="1"/>
        <v/>
      </c>
    </row>
    <row r="43" spans="17:23" x14ac:dyDescent="0.25">
      <c r="Q43" t="str">
        <f>IFERROR(TEXT(Table2[Date],"MMMM"),"")</f>
        <v/>
      </c>
      <c r="S43" t="str">
        <f>IF(Q43&lt;&gt;"",COUNTIF($Q$2:Q43,Q43),"")</f>
        <v/>
      </c>
      <c r="T43" t="b">
        <f>IF(S43=1,S43+ROWS($S$2:S43)/1000)</f>
        <v>0</v>
      </c>
      <c r="U43" t="str">
        <f>IFERROR(SMALL($T$2:$T$89,ROWS($T$2:T43)),"")</f>
        <v/>
      </c>
      <c r="W43" t="str">
        <f t="shared" si="1"/>
        <v/>
      </c>
    </row>
    <row r="44" spans="17:23" x14ac:dyDescent="0.25">
      <c r="Q44" t="str">
        <f>IFERROR(TEXT(Table2[Date],"MMMM"),"")</f>
        <v/>
      </c>
      <c r="S44" t="str">
        <f>IF(Q44&lt;&gt;"",COUNTIF($Q$2:Q44,Q44),"")</f>
        <v/>
      </c>
      <c r="T44" t="b">
        <f>IF(S44=1,S44+ROWS($S$2:S44)/1000)</f>
        <v>0</v>
      </c>
      <c r="U44" t="str">
        <f>IFERROR(SMALL($T$2:$T$89,ROWS($T$2:T44)),"")</f>
        <v/>
      </c>
      <c r="W44" t="str">
        <f t="shared" si="1"/>
        <v/>
      </c>
    </row>
    <row r="45" spans="17:23" x14ac:dyDescent="0.25">
      <c r="Q45" t="str">
        <f>IFERROR(TEXT(Table2[Date],"MMMM"),"")</f>
        <v/>
      </c>
      <c r="S45" t="str">
        <f>IF(Q45&lt;&gt;"",COUNTIF($Q$2:Q45,Q45),"")</f>
        <v/>
      </c>
      <c r="T45" t="b">
        <f>IF(S45=1,S45+ROWS($S$2:S45)/1000)</f>
        <v>0</v>
      </c>
      <c r="U45" t="str">
        <f>IFERROR(SMALL($T$2:$T$89,ROWS($T$2:T45)),"")</f>
        <v/>
      </c>
      <c r="W45" t="str">
        <f t="shared" si="1"/>
        <v/>
      </c>
    </row>
    <row r="46" spans="17:23" x14ac:dyDescent="0.25">
      <c r="Q46" t="str">
        <f>IFERROR(TEXT(Table2[Date],"MMMM"),"")</f>
        <v/>
      </c>
      <c r="S46" t="str">
        <f>IF(Q46&lt;&gt;"",COUNTIF($Q$2:Q46,Q46),"")</f>
        <v/>
      </c>
      <c r="T46" t="b">
        <f>IF(S46=1,S46+ROWS($S$2:S46)/1000)</f>
        <v>0</v>
      </c>
      <c r="U46" t="str">
        <f>IFERROR(SMALL($T$2:$T$89,ROWS($T$2:T46)),"")</f>
        <v/>
      </c>
      <c r="W46" t="str">
        <f t="shared" si="1"/>
        <v/>
      </c>
    </row>
    <row r="47" spans="17:23" x14ac:dyDescent="0.25">
      <c r="Q47" t="str">
        <f>IFERROR(TEXT(Table2[Date],"MMMM"),"")</f>
        <v/>
      </c>
      <c r="S47" t="str">
        <f>IF(Q47&lt;&gt;"",COUNTIF($Q$2:Q47,Q47),"")</f>
        <v/>
      </c>
      <c r="T47" t="b">
        <f>IF(S47=1,S47+ROWS($S$2:S47)/1000)</f>
        <v>0</v>
      </c>
      <c r="U47" t="str">
        <f>IFERROR(SMALL($T$2:$T$89,ROWS($T$2:T47)),"")</f>
        <v/>
      </c>
      <c r="W47" t="str">
        <f t="shared" si="1"/>
        <v/>
      </c>
    </row>
    <row r="48" spans="17:23" x14ac:dyDescent="0.25">
      <c r="Q48" t="str">
        <f>IFERROR(TEXT(Table2[Date],"MMMM"),"")</f>
        <v/>
      </c>
      <c r="S48" t="str">
        <f>IF(Q48&lt;&gt;"",COUNTIF($Q$2:Q48,Q48),"")</f>
        <v/>
      </c>
      <c r="T48" t="b">
        <f>IF(S48=1,S48+ROWS($S$2:S48)/1000)</f>
        <v>0</v>
      </c>
      <c r="U48" t="str">
        <f>IFERROR(SMALL($T$2:$T$89,ROWS($T$2:T48)),"")</f>
        <v/>
      </c>
      <c r="W48" t="str">
        <f t="shared" si="1"/>
        <v/>
      </c>
    </row>
    <row r="49" spans="17:23" x14ac:dyDescent="0.25">
      <c r="Q49" t="str">
        <f>IFERROR(TEXT(Table2[Date],"MMMM"),"")</f>
        <v/>
      </c>
      <c r="S49" t="str">
        <f>IF(Q49&lt;&gt;"",COUNTIF($Q$2:Q49,Q49),"")</f>
        <v/>
      </c>
      <c r="T49" t="b">
        <f>IF(S49=1,S49+ROWS($S$2:S49)/1000)</f>
        <v>0</v>
      </c>
      <c r="U49" t="str">
        <f>IFERROR(SMALL($T$2:$T$89,ROWS($T$2:T49)),"")</f>
        <v/>
      </c>
      <c r="W49" t="str">
        <f t="shared" si="1"/>
        <v/>
      </c>
    </row>
    <row r="50" spans="17:23" x14ac:dyDescent="0.25">
      <c r="Q50" t="str">
        <f>IFERROR(TEXT(Table2[Date],"MMMM"),"")</f>
        <v/>
      </c>
      <c r="S50" t="str">
        <f>IF(Q50&lt;&gt;"",COUNTIF($Q$2:Q50,Q50),"")</f>
        <v/>
      </c>
      <c r="T50" t="b">
        <f>IF(S50=1,S50+ROWS($S$2:S50)/1000)</f>
        <v>0</v>
      </c>
      <c r="U50" t="str">
        <f>IFERROR(SMALL($T$2:$T$89,ROWS($T$2:T50)),"")</f>
        <v/>
      </c>
      <c r="W50" t="str">
        <f t="shared" si="1"/>
        <v/>
      </c>
    </row>
    <row r="51" spans="17:23" x14ac:dyDescent="0.25">
      <c r="Q51" t="str">
        <f>IFERROR(TEXT(Table2[Date],"MMMM"),"")</f>
        <v/>
      </c>
      <c r="S51" t="str">
        <f>IF(Q51&lt;&gt;"",COUNTIF($Q$2:Q51,Q51),"")</f>
        <v/>
      </c>
      <c r="T51" t="b">
        <f>IF(S51=1,S51+ROWS($S$2:S51)/1000)</f>
        <v>0</v>
      </c>
      <c r="U51" t="str">
        <f>IFERROR(SMALL($T$2:$T$89,ROWS($T$2:T51)),"")</f>
        <v/>
      </c>
      <c r="W51" t="str">
        <f t="shared" si="1"/>
        <v/>
      </c>
    </row>
    <row r="52" spans="17:23" x14ac:dyDescent="0.25">
      <c r="Q52" t="str">
        <f>IFERROR(TEXT(Table2[Date],"MMMM"),"")</f>
        <v/>
      </c>
      <c r="S52" t="str">
        <f>IF(Q52&lt;&gt;"",COUNTIF($Q$2:Q52,Q52),"")</f>
        <v/>
      </c>
      <c r="T52" t="b">
        <f>IF(S52=1,S52+ROWS($S$2:S52)/1000)</f>
        <v>0</v>
      </c>
      <c r="U52" t="str">
        <f>IFERROR(SMALL($T$2:$T$89,ROWS($T$2:T52)),"")</f>
        <v/>
      </c>
      <c r="W52" t="str">
        <f t="shared" si="1"/>
        <v/>
      </c>
    </row>
    <row r="53" spans="17:23" x14ac:dyDescent="0.25">
      <c r="Q53" t="str">
        <f>IFERROR(TEXT(Table2[Date],"MMMM"),"")</f>
        <v/>
      </c>
      <c r="S53" t="str">
        <f>IF(Q53&lt;&gt;"",COUNTIF($Q$2:Q53,Q53),"")</f>
        <v/>
      </c>
      <c r="T53" t="b">
        <f>IF(S53=1,S53+ROWS($S$2:S53)/1000)</f>
        <v>0</v>
      </c>
      <c r="U53" t="str">
        <f>IFERROR(SMALL($T$2:$T$89,ROWS($T$2:T53)),"")</f>
        <v/>
      </c>
      <c r="W53" t="str">
        <f t="shared" si="1"/>
        <v/>
      </c>
    </row>
    <row r="54" spans="17:23" x14ac:dyDescent="0.25">
      <c r="Q54" t="str">
        <f>IFERROR(TEXT(Table2[Date],"MMMM"),"")</f>
        <v/>
      </c>
      <c r="S54" t="str">
        <f>IF(Q54&lt;&gt;"",COUNTIF($Q$2:Q54,Q54),"")</f>
        <v/>
      </c>
      <c r="T54" t="b">
        <f>IF(S54=1,S54+ROWS($S$2:S54)/1000)</f>
        <v>0</v>
      </c>
      <c r="U54" t="str">
        <f>IFERROR(SMALL($T$2:$T$89,ROWS($T$2:T54)),"")</f>
        <v/>
      </c>
      <c r="W54" t="str">
        <f t="shared" si="1"/>
        <v/>
      </c>
    </row>
    <row r="55" spans="17:23" x14ac:dyDescent="0.25">
      <c r="Q55" t="str">
        <f>IFERROR(TEXT(Table2[Date],"MMMM"),"")</f>
        <v/>
      </c>
      <c r="S55" t="str">
        <f>IF(Q55&lt;&gt;"",COUNTIF($Q$2:Q55,Q55),"")</f>
        <v/>
      </c>
      <c r="T55" t="b">
        <f>IF(S55=1,S55+ROWS($S$2:S55)/1000)</f>
        <v>0</v>
      </c>
      <c r="U55" t="str">
        <f>IFERROR(SMALL($T$2:$T$89,ROWS($T$2:T55)),"")</f>
        <v/>
      </c>
      <c r="W55" t="str">
        <f t="shared" si="1"/>
        <v/>
      </c>
    </row>
    <row r="56" spans="17:23" x14ac:dyDescent="0.25">
      <c r="Q56" t="str">
        <f>IFERROR(TEXT(Table2[Date],"MMMM"),"")</f>
        <v/>
      </c>
      <c r="S56" t="str">
        <f>IF(Q56&lt;&gt;"",COUNTIF($Q$2:Q56,Q56),"")</f>
        <v/>
      </c>
      <c r="T56" t="b">
        <f>IF(S56=1,S56+ROWS($S$2:S56)/1000)</f>
        <v>0</v>
      </c>
      <c r="U56" t="str">
        <f>IFERROR(SMALL($T$2:$T$89,ROWS($T$2:T56)),"")</f>
        <v/>
      </c>
      <c r="W56" t="str">
        <f t="shared" si="1"/>
        <v/>
      </c>
    </row>
    <row r="57" spans="17:23" x14ac:dyDescent="0.25">
      <c r="Q57" t="str">
        <f>IFERROR(TEXT(Table2[Date],"MMMM"),"")</f>
        <v/>
      </c>
      <c r="S57" t="str">
        <f>IF(Q57&lt;&gt;"",COUNTIF($Q$2:Q57,Q57),"")</f>
        <v/>
      </c>
      <c r="T57" t="b">
        <f>IF(S57=1,S57+ROWS($S$2:S57)/1000)</f>
        <v>0</v>
      </c>
      <c r="U57" t="str">
        <f>IFERROR(SMALL($T$2:$T$89,ROWS($T$2:T57)),"")</f>
        <v/>
      </c>
      <c r="W57" t="str">
        <f t="shared" si="1"/>
        <v/>
      </c>
    </row>
    <row r="58" spans="17:23" x14ac:dyDescent="0.25">
      <c r="Q58" t="str">
        <f>IFERROR(TEXT(Table2[Date],"MMMM"),"")</f>
        <v/>
      </c>
      <c r="S58" t="str">
        <f>IF(Q58&lt;&gt;"",COUNTIF($Q$2:Q58,Q58),"")</f>
        <v/>
      </c>
      <c r="T58" t="b">
        <f>IF(S58=1,S58+ROWS($S$2:S58)/1000)</f>
        <v>0</v>
      </c>
      <c r="U58" t="str">
        <f>IFERROR(SMALL($T$2:$T$89,ROWS($T$2:T58)),"")</f>
        <v/>
      </c>
      <c r="W58" t="str">
        <f t="shared" si="1"/>
        <v/>
      </c>
    </row>
    <row r="59" spans="17:23" x14ac:dyDescent="0.25">
      <c r="Q59" t="str">
        <f>IFERROR(TEXT(Table2[Date],"MMMM"),"")</f>
        <v/>
      </c>
      <c r="S59" t="str">
        <f>IF(Q59&lt;&gt;"",COUNTIF($Q$2:Q59,Q59),"")</f>
        <v/>
      </c>
      <c r="T59" t="b">
        <f>IF(S59=1,S59+ROWS($S$2:S59)/1000)</f>
        <v>0</v>
      </c>
      <c r="U59" t="str">
        <f>IFERROR(SMALL($T$2:$T$89,ROWS($T$2:T59)),"")</f>
        <v/>
      </c>
      <c r="W59" t="str">
        <f t="shared" si="1"/>
        <v/>
      </c>
    </row>
    <row r="60" spans="17:23" x14ac:dyDescent="0.25">
      <c r="Q60" t="str">
        <f>IFERROR(TEXT(Table2[Date],"MMMM"),"")</f>
        <v/>
      </c>
      <c r="S60" t="str">
        <f>IF(Q60&lt;&gt;"",COUNTIF($Q$2:Q60,Q60),"")</f>
        <v/>
      </c>
      <c r="T60" t="b">
        <f>IF(S60=1,S60+ROWS($S$2:S60)/1000)</f>
        <v>0</v>
      </c>
      <c r="U60" t="str">
        <f>IFERROR(SMALL($T$2:$T$89,ROWS($T$2:T60)),"")</f>
        <v/>
      </c>
      <c r="W60" t="str">
        <f t="shared" si="1"/>
        <v/>
      </c>
    </row>
    <row r="61" spans="17:23" x14ac:dyDescent="0.25">
      <c r="Q61" t="str">
        <f>IFERROR(TEXT(Table2[Date],"MMMM"),"")</f>
        <v/>
      </c>
      <c r="S61" t="str">
        <f>IF(Q61&lt;&gt;"",COUNTIF($Q$2:Q61,Q61),"")</f>
        <v/>
      </c>
      <c r="T61" t="b">
        <f>IF(S61=1,S61+ROWS($S$2:S61)/1000)</f>
        <v>0</v>
      </c>
      <c r="U61" t="str">
        <f>IFERROR(SMALL($T$2:$T$89,ROWS($T$2:T61)),"")</f>
        <v/>
      </c>
      <c r="W61" t="str">
        <f t="shared" si="1"/>
        <v/>
      </c>
    </row>
    <row r="62" spans="17:23" x14ac:dyDescent="0.25">
      <c r="Q62" t="str">
        <f>IFERROR(TEXT(Table2[Date],"MMMM"),"")</f>
        <v/>
      </c>
      <c r="S62" t="str">
        <f>IF(Q62&lt;&gt;"",COUNTIF($Q$2:Q62,Q62),"")</f>
        <v/>
      </c>
      <c r="T62" t="b">
        <f>IF(S62=1,S62+ROWS($S$2:S62)/1000)</f>
        <v>0</v>
      </c>
      <c r="U62" t="str">
        <f>IFERROR(SMALL($T$2:$T$89,ROWS($T$2:T62)),"")</f>
        <v/>
      </c>
      <c r="W62" t="str">
        <f t="shared" si="1"/>
        <v/>
      </c>
    </row>
    <row r="63" spans="17:23" x14ac:dyDescent="0.25">
      <c r="Q63" t="str">
        <f>IFERROR(TEXT(Table2[Date],"MMMM"),"")</f>
        <v/>
      </c>
      <c r="S63" t="str">
        <f>IF(Q63&lt;&gt;"",COUNTIF($Q$2:Q63,Q63),"")</f>
        <v/>
      </c>
      <c r="T63" t="b">
        <f>IF(S63=1,S63+ROWS($S$2:S63)/1000)</f>
        <v>0</v>
      </c>
      <c r="U63" t="str">
        <f>IFERROR(SMALL($T$2:$T$89,ROWS($T$2:T63)),"")</f>
        <v/>
      </c>
      <c r="W63" t="str">
        <f t="shared" si="1"/>
        <v/>
      </c>
    </row>
    <row r="64" spans="17:23" x14ac:dyDescent="0.25">
      <c r="Q64" t="str">
        <f>IFERROR(TEXT(Table2[Date],"MMMM"),"")</f>
        <v/>
      </c>
      <c r="S64" t="str">
        <f>IF(Q64&lt;&gt;"",COUNTIF($Q$2:Q64,Q64),"")</f>
        <v/>
      </c>
      <c r="T64" t="b">
        <f>IF(S64=1,S64+ROWS($S$2:S64)/1000)</f>
        <v>0</v>
      </c>
      <c r="U64" t="str">
        <f>IFERROR(SMALL($T$2:$T$89,ROWS($T$2:T64)),"")</f>
        <v/>
      </c>
      <c r="W64" t="str">
        <f t="shared" si="1"/>
        <v/>
      </c>
    </row>
    <row r="65" spans="17:23" x14ac:dyDescent="0.25">
      <c r="Q65" t="str">
        <f>IFERROR(TEXT(Table2[Date],"MMMM"),"")</f>
        <v/>
      </c>
      <c r="S65" t="str">
        <f>IF(Q65&lt;&gt;"",COUNTIF($Q$2:Q65,Q65),"")</f>
        <v/>
      </c>
      <c r="T65" t="b">
        <f>IF(S65=1,S65+ROWS($S$2:S65)/1000)</f>
        <v>0</v>
      </c>
      <c r="U65" t="str">
        <f>IFERROR(SMALL($T$2:$T$89,ROWS($T$2:T65)),"")</f>
        <v/>
      </c>
      <c r="W65" t="str">
        <f t="shared" si="1"/>
        <v/>
      </c>
    </row>
    <row r="66" spans="17:23" x14ac:dyDescent="0.25">
      <c r="Q66" t="str">
        <f>IFERROR(TEXT(Table2[Date],"MMMM"),"")</f>
        <v/>
      </c>
      <c r="S66" t="str">
        <f>IF(Q66&lt;&gt;"",COUNTIF($Q$2:Q66,Q66),"")</f>
        <v/>
      </c>
      <c r="T66" t="b">
        <f>IF(S66=1,S66+ROWS($S$2:S66)/1000)</f>
        <v>0</v>
      </c>
      <c r="U66" t="str">
        <f>IFERROR(SMALL($T$2:$T$89,ROWS($T$2:T66)),"")</f>
        <v/>
      </c>
      <c r="W66" t="str">
        <f t="shared" si="1"/>
        <v/>
      </c>
    </row>
    <row r="67" spans="17:23" x14ac:dyDescent="0.25">
      <c r="Q67" t="str">
        <f>IFERROR(TEXT(Table2[Date],"MMMM"),"")</f>
        <v/>
      </c>
      <c r="S67" t="str">
        <f>IF(Q67&lt;&gt;"",COUNTIF($Q$2:Q67,Q67),"")</f>
        <v/>
      </c>
      <c r="T67" t="b">
        <f>IF(S67=1,S67+ROWS($S$2:S67)/1000)</f>
        <v>0</v>
      </c>
      <c r="U67" t="str">
        <f>IFERROR(SMALL($T$2:$T$89,ROWS($T$2:T67)),"")</f>
        <v/>
      </c>
      <c r="W67" t="str">
        <f t="shared" ref="W67:W89" si="2">IFERROR(INDEX($Q$2:$Q$103,MATCH(U67,$T$2:$T$103,0),1),"")</f>
        <v/>
      </c>
    </row>
    <row r="68" spans="17:23" x14ac:dyDescent="0.25">
      <c r="Q68" t="str">
        <f>IFERROR(TEXT(Table2[Date],"MMMM"),"")</f>
        <v/>
      </c>
      <c r="S68" t="str">
        <f>IF(Q68&lt;&gt;"",COUNTIF($Q$2:Q68,Q68),"")</f>
        <v/>
      </c>
      <c r="T68" t="b">
        <f>IF(S68=1,S68+ROWS($S$2:S68)/1000)</f>
        <v>0</v>
      </c>
      <c r="U68" t="str">
        <f>IFERROR(SMALL($T$2:$T$89,ROWS($T$2:T68)),"")</f>
        <v/>
      </c>
      <c r="W68" t="str">
        <f t="shared" si="2"/>
        <v/>
      </c>
    </row>
    <row r="69" spans="17:23" x14ac:dyDescent="0.25">
      <c r="Q69" t="str">
        <f>IFERROR(TEXT(Table2[Date],"MMMM"),"")</f>
        <v/>
      </c>
      <c r="S69" t="str">
        <f>IF(Q69&lt;&gt;"",COUNTIF($Q$2:Q69,Q69),"")</f>
        <v/>
      </c>
      <c r="T69" t="b">
        <f>IF(S69=1,S69+ROWS($S$2:S69)/1000)</f>
        <v>0</v>
      </c>
      <c r="U69" t="str">
        <f>IFERROR(SMALL($T$2:$T$89,ROWS($T$2:T69)),"")</f>
        <v/>
      </c>
      <c r="W69" t="str">
        <f t="shared" si="2"/>
        <v/>
      </c>
    </row>
    <row r="70" spans="17:23" x14ac:dyDescent="0.25">
      <c r="Q70" t="str">
        <f>IFERROR(TEXT(Table2[Date],"MMMM"),"")</f>
        <v/>
      </c>
      <c r="S70" t="str">
        <f>IF(Q70&lt;&gt;"",COUNTIF($Q$2:Q70,Q70),"")</f>
        <v/>
      </c>
      <c r="T70" t="b">
        <f>IF(S70=1,S70+ROWS($S$2:S70)/1000)</f>
        <v>0</v>
      </c>
      <c r="U70" t="str">
        <f>IFERROR(SMALL($T$2:$T$89,ROWS($T$2:T70)),"")</f>
        <v/>
      </c>
      <c r="W70" t="str">
        <f t="shared" si="2"/>
        <v/>
      </c>
    </row>
    <row r="71" spans="17:23" x14ac:dyDescent="0.25">
      <c r="Q71" t="str">
        <f>IFERROR(TEXT(Table2[Date],"MMMM"),"")</f>
        <v/>
      </c>
      <c r="S71" t="str">
        <f>IF(Q71&lt;&gt;"",COUNTIF($Q$2:Q71,Q71),"")</f>
        <v/>
      </c>
      <c r="T71" t="b">
        <f>IF(S71=1,S71+ROWS($S$2:S71)/1000)</f>
        <v>0</v>
      </c>
      <c r="U71" t="str">
        <f>IFERROR(SMALL($T$2:$T$89,ROWS($T$2:T71)),"")</f>
        <v/>
      </c>
      <c r="W71" t="str">
        <f t="shared" si="2"/>
        <v/>
      </c>
    </row>
    <row r="72" spans="17:23" x14ac:dyDescent="0.25">
      <c r="Q72" t="str">
        <f>IFERROR(TEXT(Table2[Date],"MMMM"),"")</f>
        <v/>
      </c>
      <c r="S72" t="str">
        <f>IF(Q72&lt;&gt;"",COUNTIF($Q$2:Q72,Q72),"")</f>
        <v/>
      </c>
      <c r="T72" t="b">
        <f>IF(S72=1,S72+ROWS($S$2:S72)/1000)</f>
        <v>0</v>
      </c>
      <c r="U72" t="str">
        <f>IFERROR(SMALL($T$2:$T$89,ROWS($T$2:T72)),"")</f>
        <v/>
      </c>
      <c r="W72" t="str">
        <f t="shared" si="2"/>
        <v/>
      </c>
    </row>
    <row r="73" spans="17:23" x14ac:dyDescent="0.25">
      <c r="Q73" t="str">
        <f>IFERROR(TEXT(Table2[Date],"MMMM"),"")</f>
        <v/>
      </c>
      <c r="S73" t="str">
        <f>IF(Q73&lt;&gt;"",COUNTIF($Q$2:Q73,Q73),"")</f>
        <v/>
      </c>
      <c r="T73" t="b">
        <f>IF(S73=1,S73+ROWS($S$2:S73)/1000)</f>
        <v>0</v>
      </c>
      <c r="U73" t="str">
        <f>IFERROR(SMALL($T$2:$T$89,ROWS($T$2:T73)),"")</f>
        <v/>
      </c>
      <c r="W73" t="str">
        <f t="shared" si="2"/>
        <v/>
      </c>
    </row>
    <row r="74" spans="17:23" x14ac:dyDescent="0.25">
      <c r="Q74" t="str">
        <f>IFERROR(TEXT(Table2[Date],"MMMM"),"")</f>
        <v/>
      </c>
      <c r="S74" t="str">
        <f>IF(Q74&lt;&gt;"",COUNTIF($Q$2:Q74,Q74),"")</f>
        <v/>
      </c>
      <c r="T74" t="b">
        <f>IF(S74=1,S74+ROWS($S$2:S74)/1000)</f>
        <v>0</v>
      </c>
      <c r="U74" t="str">
        <f>IFERROR(SMALL($T$2:$T$89,ROWS($T$2:T74)),"")</f>
        <v/>
      </c>
      <c r="W74" t="str">
        <f t="shared" si="2"/>
        <v/>
      </c>
    </row>
    <row r="75" spans="17:23" x14ac:dyDescent="0.25">
      <c r="Q75" t="str">
        <f>IFERROR(TEXT(Table2[Date],"MMMM"),"")</f>
        <v/>
      </c>
      <c r="S75" t="str">
        <f>IF(Q75&lt;&gt;"",COUNTIF($Q$2:Q75,Q75),"")</f>
        <v/>
      </c>
      <c r="T75" t="b">
        <f>IF(S75=1,S75+ROWS($S$2:S75)/1000)</f>
        <v>0</v>
      </c>
      <c r="U75" t="str">
        <f>IFERROR(SMALL($T$2:$T$89,ROWS($T$2:T75)),"")</f>
        <v/>
      </c>
      <c r="W75" t="str">
        <f t="shared" si="2"/>
        <v/>
      </c>
    </row>
    <row r="76" spans="17:23" x14ac:dyDescent="0.25">
      <c r="Q76" t="str">
        <f>IFERROR(TEXT(Table2[Date],"MMMM"),"")</f>
        <v/>
      </c>
      <c r="S76" t="str">
        <f>IF(Q76&lt;&gt;"",COUNTIF($Q$2:Q76,Q76),"")</f>
        <v/>
      </c>
      <c r="T76" t="b">
        <f>IF(S76=1,S76+ROWS($S$2:S76)/1000)</f>
        <v>0</v>
      </c>
      <c r="U76" t="str">
        <f>IFERROR(SMALL($T$2:$T$89,ROWS($T$2:T76)),"")</f>
        <v/>
      </c>
      <c r="W76" t="str">
        <f t="shared" si="2"/>
        <v/>
      </c>
    </row>
    <row r="77" spans="17:23" x14ac:dyDescent="0.25">
      <c r="Q77" t="str">
        <f>IFERROR(TEXT(Table2[Date],"MMMM"),"")</f>
        <v/>
      </c>
      <c r="S77" t="str">
        <f>IF(Q77&lt;&gt;"",COUNTIF($Q$2:Q77,Q77),"")</f>
        <v/>
      </c>
      <c r="T77" t="b">
        <f>IF(S77=1,S77+ROWS($S$2:S77)/1000)</f>
        <v>0</v>
      </c>
      <c r="U77" t="str">
        <f>IFERROR(SMALL($T$2:$T$89,ROWS($T$2:T77)),"")</f>
        <v/>
      </c>
      <c r="W77" t="str">
        <f t="shared" si="2"/>
        <v/>
      </c>
    </row>
    <row r="78" spans="17:23" x14ac:dyDescent="0.25">
      <c r="Q78" t="str">
        <f>IFERROR(TEXT(Table2[Date],"MMMM"),"")</f>
        <v/>
      </c>
      <c r="S78" t="str">
        <f>IF(Q78&lt;&gt;"",COUNTIF($Q$2:Q78,Q78),"")</f>
        <v/>
      </c>
      <c r="T78" t="b">
        <f>IF(S78=1,S78+ROWS($S$2:S78)/1000)</f>
        <v>0</v>
      </c>
      <c r="U78" t="str">
        <f>IFERROR(SMALL($T$2:$T$89,ROWS($T$2:T78)),"")</f>
        <v/>
      </c>
      <c r="W78" t="str">
        <f t="shared" si="2"/>
        <v/>
      </c>
    </row>
    <row r="79" spans="17:23" x14ac:dyDescent="0.25">
      <c r="Q79" t="str">
        <f>IFERROR(TEXT(Table2[Date],"MMMM"),"")</f>
        <v/>
      </c>
      <c r="S79" t="str">
        <f>IF(Q79&lt;&gt;"",COUNTIF($Q$2:Q79,Q79),"")</f>
        <v/>
      </c>
      <c r="T79" t="b">
        <f>IF(S79=1,S79+ROWS($S$2:S79)/1000)</f>
        <v>0</v>
      </c>
      <c r="U79" t="str">
        <f>IFERROR(SMALL($T$2:$T$89,ROWS($T$2:T79)),"")</f>
        <v/>
      </c>
      <c r="W79" t="str">
        <f t="shared" si="2"/>
        <v/>
      </c>
    </row>
    <row r="80" spans="17:23" x14ac:dyDescent="0.25">
      <c r="Q80" t="str">
        <f>IFERROR(TEXT(Table2[Date],"MMMM"),"")</f>
        <v/>
      </c>
      <c r="S80" t="str">
        <f>IF(Q80&lt;&gt;"",COUNTIF($Q$2:Q80,Q80),"")</f>
        <v/>
      </c>
      <c r="T80" t="b">
        <f>IF(S80=1,S80+ROWS($S$2:S80)/1000)</f>
        <v>0</v>
      </c>
      <c r="U80" t="str">
        <f>IFERROR(SMALL($T$2:$T$89,ROWS($T$2:T80)),"")</f>
        <v/>
      </c>
      <c r="W80" t="str">
        <f t="shared" si="2"/>
        <v/>
      </c>
    </row>
    <row r="81" spans="17:23" x14ac:dyDescent="0.25">
      <c r="Q81" t="str">
        <f>IFERROR(TEXT(Table2[Date],"MMMM"),"")</f>
        <v/>
      </c>
      <c r="S81" t="str">
        <f>IF(Q81&lt;&gt;"",COUNTIF($Q$2:Q81,Q81),"")</f>
        <v/>
      </c>
      <c r="T81" t="b">
        <f>IF(S81=1,S81+ROWS($S$2:S81)/1000)</f>
        <v>0</v>
      </c>
      <c r="U81" t="str">
        <f>IFERROR(SMALL($T$2:$T$89,ROWS($T$2:T81)),"")</f>
        <v/>
      </c>
      <c r="W81" t="str">
        <f t="shared" si="2"/>
        <v/>
      </c>
    </row>
    <row r="82" spans="17:23" x14ac:dyDescent="0.25">
      <c r="Q82" t="str">
        <f>IFERROR(TEXT(Table2[Date],"MMMM"),"")</f>
        <v/>
      </c>
      <c r="S82" t="str">
        <f>IF(Q82&lt;&gt;"",COUNTIF($Q$2:Q82,Q82),"")</f>
        <v/>
      </c>
      <c r="T82" t="b">
        <f>IF(S82=1,S82+ROWS($S$2:S82)/1000)</f>
        <v>0</v>
      </c>
      <c r="U82" t="str">
        <f>IFERROR(SMALL($T$2:$T$89,ROWS($T$2:T82)),"")</f>
        <v/>
      </c>
      <c r="W82" t="str">
        <f t="shared" si="2"/>
        <v/>
      </c>
    </row>
    <row r="83" spans="17:23" x14ac:dyDescent="0.25">
      <c r="Q83" t="str">
        <f>IFERROR(TEXT(Table2[Date],"MMMM"),"")</f>
        <v/>
      </c>
      <c r="S83" t="str">
        <f>IF(Q83&lt;&gt;"",COUNTIF($Q$2:Q83,Q83),"")</f>
        <v/>
      </c>
      <c r="T83" t="b">
        <f>IF(S83=1,S83+ROWS($S$2:S83)/1000)</f>
        <v>0</v>
      </c>
      <c r="U83" t="str">
        <f>IFERROR(SMALL($T$2:$T$89,ROWS($T$2:T83)),"")</f>
        <v/>
      </c>
      <c r="W83" t="str">
        <f t="shared" si="2"/>
        <v/>
      </c>
    </row>
    <row r="84" spans="17:23" x14ac:dyDescent="0.25">
      <c r="Q84" t="str">
        <f>IFERROR(TEXT(Table2[Date],"MMMM"),"")</f>
        <v/>
      </c>
      <c r="S84" t="str">
        <f>IF(Q84&lt;&gt;"",COUNTIF($Q$2:Q84,Q84),"")</f>
        <v/>
      </c>
      <c r="T84" t="b">
        <f>IF(S84=1,S84+ROWS($S$2:S84)/1000)</f>
        <v>0</v>
      </c>
      <c r="U84" t="str">
        <f>IFERROR(SMALL($T$2:$T$89,ROWS($T$2:T84)),"")</f>
        <v/>
      </c>
      <c r="W84" t="str">
        <f t="shared" si="2"/>
        <v/>
      </c>
    </row>
    <row r="85" spans="17:23" x14ac:dyDescent="0.25">
      <c r="Q85" t="str">
        <f>IFERROR(TEXT(Table2[Date],"MMMM"),"")</f>
        <v/>
      </c>
      <c r="S85" t="str">
        <f>IF(Q85&lt;&gt;"",COUNTIF($Q$2:Q85,Q85),"")</f>
        <v/>
      </c>
      <c r="T85" t="b">
        <f>IF(S85=1,S85+ROWS($S$2:S85)/1000)</f>
        <v>0</v>
      </c>
      <c r="U85" t="str">
        <f>IFERROR(SMALL($T$2:$T$89,ROWS($T$2:T85)),"")</f>
        <v/>
      </c>
      <c r="W85" t="str">
        <f t="shared" si="2"/>
        <v/>
      </c>
    </row>
    <row r="86" spans="17:23" x14ac:dyDescent="0.25">
      <c r="Q86" t="str">
        <f>IFERROR(TEXT(Table2[Date],"MMMM"),"")</f>
        <v/>
      </c>
      <c r="S86" t="str">
        <f>IF(Q86&lt;&gt;"",COUNTIF($Q$2:Q86,Q86),"")</f>
        <v/>
      </c>
      <c r="T86" t="b">
        <f>IF(S86=1,S86+ROWS($S$2:S86)/1000)</f>
        <v>0</v>
      </c>
      <c r="U86" t="str">
        <f>IFERROR(SMALL($T$2:$T$89,ROWS($T$2:T86)),"")</f>
        <v/>
      </c>
      <c r="W86" t="str">
        <f t="shared" si="2"/>
        <v/>
      </c>
    </row>
    <row r="87" spans="17:23" x14ac:dyDescent="0.25">
      <c r="Q87" t="str">
        <f>IFERROR(TEXT(Table2[Date],"MMMM"),"")</f>
        <v/>
      </c>
      <c r="S87" t="str">
        <f>IF(Q87&lt;&gt;"",COUNTIF($Q$2:Q87,Q87),"")</f>
        <v/>
      </c>
      <c r="T87" t="b">
        <f>IF(S87=1,S87+ROWS($S$2:S87)/1000)</f>
        <v>0</v>
      </c>
      <c r="U87" t="str">
        <f>IFERROR(SMALL($T$2:$T$89,ROWS($T$2:T87)),"")</f>
        <v/>
      </c>
      <c r="W87" t="str">
        <f t="shared" si="2"/>
        <v/>
      </c>
    </row>
    <row r="88" spans="17:23" x14ac:dyDescent="0.25">
      <c r="Q88" t="str">
        <f>IFERROR(TEXT(Table2[Date],"MMMM"),"")</f>
        <v/>
      </c>
      <c r="S88" t="str">
        <f>IF(Q88&lt;&gt;"",COUNTIF($Q$2:Q88,Q88),"")</f>
        <v/>
      </c>
      <c r="T88" t="b">
        <f>IF(S88=1,S88+ROWS($S$2:S88)/1000)</f>
        <v>0</v>
      </c>
      <c r="U88" t="str">
        <f>IFERROR(SMALL($T$2:$T$89,ROWS($T$2:T88)),"")</f>
        <v/>
      </c>
      <c r="W88" t="str">
        <f t="shared" si="2"/>
        <v/>
      </c>
    </row>
    <row r="89" spans="17:23" x14ac:dyDescent="0.25">
      <c r="Q89" t="str">
        <f>IFERROR(TEXT(Table2[Date],"MMMM"),"")</f>
        <v/>
      </c>
      <c r="S89" t="str">
        <f>IF(Q89&lt;&gt;"",COUNTIF($Q$2:Q89,Q89),"")</f>
        <v/>
      </c>
      <c r="T89" t="b">
        <f>IF(S89=1,S89+ROWS($S$2:S89)/1000)</f>
        <v>0</v>
      </c>
      <c r="U89" t="str">
        <f>IFERROR(SMALL($T$2:$T$89,ROWS($T$2:T89)),"")</f>
        <v/>
      </c>
      <c r="W89" t="str">
        <f t="shared" si="2"/>
        <v/>
      </c>
    </row>
    <row r="90" spans="17:23" x14ac:dyDescent="0.25">
      <c r="Q90" t="str">
        <f>IFERROR(TEXT(Table2[Date],"MMMM"),"")</f>
        <v/>
      </c>
    </row>
    <row r="91" spans="17:23" x14ac:dyDescent="0.25">
      <c r="Q91" t="str">
        <f>IFERROR(TEXT(Table2[Date],"MMMM"),"")</f>
        <v/>
      </c>
    </row>
    <row r="92" spans="17:23" x14ac:dyDescent="0.25">
      <c r="Q92" t="str">
        <f>IFERROR(TEXT(Table2[Date],"MMMM"),"")</f>
        <v/>
      </c>
    </row>
    <row r="93" spans="17:23" x14ac:dyDescent="0.25">
      <c r="Q93" t="str">
        <f>IFERROR(TEXT(Table2[Date],"MMMM"),"")</f>
        <v/>
      </c>
    </row>
    <row r="94" spans="17:23" x14ac:dyDescent="0.25">
      <c r="Q94" t="str">
        <f>IFERROR(TEXT(Table2[Date],"MMMM"),"")</f>
        <v/>
      </c>
    </row>
    <row r="95" spans="17:23" x14ac:dyDescent="0.25">
      <c r="Q95" t="str">
        <f>IFERROR(TEXT(Table2[Date],"MMMM"),"")</f>
        <v/>
      </c>
    </row>
    <row r="96" spans="17:23" x14ac:dyDescent="0.25">
      <c r="Q96" t="str">
        <f>IFERROR(TEXT(Table2[Date],"MMMM"),"")</f>
        <v/>
      </c>
    </row>
    <row r="97" spans="17:17" x14ac:dyDescent="0.25">
      <c r="Q97" t="str">
        <f>IFERROR(TEXT(Table2[Date],"MMMM"),"")</f>
        <v/>
      </c>
    </row>
    <row r="98" spans="17:17" x14ac:dyDescent="0.25">
      <c r="Q98" t="str">
        <f>IFERROR(TEXT(Table2[Date],"MMMM"),"")</f>
        <v/>
      </c>
    </row>
    <row r="99" spans="17:17" x14ac:dyDescent="0.25">
      <c r="Q99" t="str">
        <f>IFERROR(TEXT(Table2[Date],"MMMM"),"")</f>
        <v/>
      </c>
    </row>
    <row r="100" spans="17:17" x14ac:dyDescent="0.25">
      <c r="Q100" t="str">
        <f>IFERROR(TEXT(Table2[Date],"MMMM"),"")</f>
        <v/>
      </c>
    </row>
    <row r="101" spans="17:17" x14ac:dyDescent="0.25">
      <c r="Q101" t="str">
        <f>IFERROR(TEXT(Table2[Date],"MMMM"),"")</f>
        <v/>
      </c>
    </row>
    <row r="102" spans="17:17" x14ac:dyDescent="0.25">
      <c r="Q102" t="str">
        <f>IFERROR(TEXT(Table2[Date],"MMMM"),"")</f>
        <v/>
      </c>
    </row>
    <row r="103" spans="17:17" x14ac:dyDescent="0.25">
      <c r="Q103" t="str">
        <f>IFERROR(TEXT(Table2[Date],"MMMM"),"")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B587C-4BAE-4028-A4C9-DD3235AAF116}">
  <sheetPr codeName="Sheet3"/>
  <dimension ref="A1:N8"/>
  <sheetViews>
    <sheetView workbookViewId="0">
      <selection activeCell="D21" sqref="D21"/>
    </sheetView>
  </sheetViews>
  <sheetFormatPr defaultRowHeight="15" x14ac:dyDescent="0.25"/>
  <cols>
    <col min="1" max="1" width="11.42578125" bestFit="1" customWidth="1"/>
    <col min="2" max="2" width="13.42578125" bestFit="1" customWidth="1"/>
    <col min="3" max="3" width="24.42578125" bestFit="1" customWidth="1"/>
    <col min="7" max="8" width="11.42578125" bestFit="1" customWidth="1"/>
    <col min="9" max="9" width="14.85546875" bestFit="1" customWidth="1"/>
    <col min="10" max="10" width="14.42578125" bestFit="1" customWidth="1"/>
    <col min="12" max="12" width="14.85546875" bestFit="1" customWidth="1"/>
    <col min="14" max="14" width="14.85546875" bestFit="1" customWidth="1"/>
  </cols>
  <sheetData>
    <row r="1" spans="1:14" x14ac:dyDescent="0.25">
      <c r="A1" t="s">
        <v>31</v>
      </c>
    </row>
    <row r="2" spans="1:14" x14ac:dyDescent="0.25">
      <c r="A2" s="16" t="s">
        <v>2</v>
      </c>
      <c r="B2" s="16" t="s">
        <v>34</v>
      </c>
      <c r="C2" s="16" t="s">
        <v>23</v>
      </c>
      <c r="D2" s="16" t="b">
        <f>IF(A2=Calendar!$M$5,TRUE)</f>
        <v>0</v>
      </c>
      <c r="E2" t="str">
        <f>IF(D2=TRUE,ROWS($D$2:D2),"")</f>
        <v/>
      </c>
      <c r="F2">
        <f>IFERROR(LARGE($E$2:$E$8,ROWS($E$2:E2)),"")</f>
        <v>7</v>
      </c>
      <c r="H2" t="str">
        <f>INDEX($A$2:$C$8,MATCH($F2,$E$2:$E$8,0),COLUMNS($F$2:F2))</f>
        <v>Sunday</v>
      </c>
      <c r="I2" t="str">
        <f>INDEX($A$2:$C$8,MATCH($F2,$E$2:$E$8,0),COLUMNS($F$2:G2))</f>
        <v>Menthal Health</v>
      </c>
      <c r="J2" t="str">
        <f>INDEX($A$2:$C$8,MATCH($F2,$E$2:$E$8,0),COLUMNS($F$2:H2))</f>
        <v>Physical health</v>
      </c>
      <c r="N2" s="16" t="str">
        <f>IF($I$2="","",$I$2)</f>
        <v>Menthal Health</v>
      </c>
    </row>
    <row r="3" spans="1:14" x14ac:dyDescent="0.25">
      <c r="A3" s="16" t="s">
        <v>3</v>
      </c>
      <c r="B3" s="16" t="s">
        <v>22</v>
      </c>
      <c r="C3" s="16"/>
      <c r="D3" s="16" t="b">
        <f>IF(A3=Calendar!$M$5,TRUE)</f>
        <v>0</v>
      </c>
      <c r="E3" t="str">
        <f>IF(D3=TRUE,ROWS($D$2:D3),"")</f>
        <v/>
      </c>
      <c r="F3" t="str">
        <f>IFERROR(LARGE($E$2:$E$8,ROWS($E$2:E3)),"")</f>
        <v/>
      </c>
      <c r="N3" s="16" t="str">
        <f>IF(IF($J$2="","",$J$2)=0,"",J2)</f>
        <v>Physical health</v>
      </c>
    </row>
    <row r="4" spans="1:14" x14ac:dyDescent="0.25">
      <c r="A4" s="16" t="s">
        <v>4</v>
      </c>
      <c r="B4" s="16" t="s">
        <v>24</v>
      </c>
      <c r="C4" s="16"/>
      <c r="D4" s="16" t="b">
        <f>IF(A4=Calendar!$M$5,TRUE)</f>
        <v>0</v>
      </c>
      <c r="E4" t="str">
        <f>IF(D4=TRUE,ROWS($D$2:D4),"")</f>
        <v/>
      </c>
      <c r="F4" t="str">
        <f>IFERROR(LARGE($E$2:$E$8,ROWS($E$2:E4)),"")</f>
        <v/>
      </c>
      <c r="N4" s="16" t="str">
        <f>IF($K$2="","",$K$2)</f>
        <v/>
      </c>
    </row>
    <row r="5" spans="1:14" x14ac:dyDescent="0.25">
      <c r="A5" s="16" t="s">
        <v>5</v>
      </c>
      <c r="B5" s="16" t="s">
        <v>34</v>
      </c>
      <c r="C5" s="16"/>
      <c r="D5" s="16" t="b">
        <f>IF(A5=Calendar!$M$5,TRUE)</f>
        <v>0</v>
      </c>
      <c r="E5" t="str">
        <f>IF(D5=TRUE,ROWS($D$2:D5),"")</f>
        <v/>
      </c>
      <c r="F5" t="str">
        <f>IFERROR(LARGE($E$2:$E$8,ROWS($E$2:E5)),"")</f>
        <v/>
      </c>
      <c r="N5" s="16" t="str">
        <f>IF($L$2="","",$L$2)</f>
        <v/>
      </c>
    </row>
    <row r="6" spans="1:14" x14ac:dyDescent="0.25">
      <c r="A6" s="16" t="s">
        <v>6</v>
      </c>
      <c r="B6" s="16" t="s">
        <v>23</v>
      </c>
      <c r="C6" s="16"/>
      <c r="D6" s="16" t="b">
        <f>IF(A6=Calendar!$M$5,TRUE)</f>
        <v>0</v>
      </c>
      <c r="E6" t="str">
        <f>IF(D6=TRUE,ROWS($D$2:D6),"")</f>
        <v/>
      </c>
      <c r="F6" t="str">
        <f>IFERROR(LARGE($E$2:$E$8,ROWS($E$2:E6)),"")</f>
        <v/>
      </c>
      <c r="N6" s="16" t="str">
        <f>IF($M$2="","",$M$2)</f>
        <v/>
      </c>
    </row>
    <row r="7" spans="1:14" x14ac:dyDescent="0.25">
      <c r="A7" s="16" t="s">
        <v>7</v>
      </c>
      <c r="B7" s="16" t="s">
        <v>22</v>
      </c>
      <c r="C7" s="16"/>
      <c r="D7" s="16" t="b">
        <f>IF(A7=Calendar!$M$5,TRUE)</f>
        <v>0</v>
      </c>
      <c r="E7" t="str">
        <f>IF(D7=TRUE,ROWS($D$2:D7),"")</f>
        <v/>
      </c>
      <c r="F7" t="str">
        <f>IFERROR(LARGE($E$2:$E$8,ROWS($E$2:E7)),"")</f>
        <v/>
      </c>
      <c r="N7" s="16"/>
    </row>
    <row r="8" spans="1:14" x14ac:dyDescent="0.25">
      <c r="A8" s="16" t="s">
        <v>8</v>
      </c>
      <c r="B8" s="16" t="s">
        <v>34</v>
      </c>
      <c r="C8" s="16" t="s">
        <v>35</v>
      </c>
      <c r="D8" s="16" t="b">
        <f>IF(A8=Calendar!$M$5,TRUE)</f>
        <v>1</v>
      </c>
      <c r="E8">
        <f>IF(D8=TRUE,ROWS($D$2:D8),"")</f>
        <v>7</v>
      </c>
      <c r="F8" t="str">
        <f>IFERROR(LARGE($E$2:$E$8,ROWS($E$2:E8)),"")</f>
        <v/>
      </c>
    </row>
  </sheetData>
  <phoneticPr fontId="2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DD9BA-D8DE-4E27-8DFC-F29FE419C30D}">
  <sheetPr codeName="Sheet4"/>
  <dimension ref="A1:B5"/>
  <sheetViews>
    <sheetView workbookViewId="0">
      <selection activeCell="K12" sqref="K12"/>
    </sheetView>
  </sheetViews>
  <sheetFormatPr defaultRowHeight="12.75" x14ac:dyDescent="0.2"/>
  <cols>
    <col min="1" max="1" width="5.7109375" style="16" bestFit="1" customWidth="1"/>
    <col min="2" max="2" width="19.85546875" style="16" customWidth="1"/>
    <col min="3" max="16384" width="9.140625" style="16"/>
  </cols>
  <sheetData>
    <row r="1" spans="1:2" x14ac:dyDescent="0.2">
      <c r="A1" s="17" t="s">
        <v>20</v>
      </c>
      <c r="B1" s="17" t="s">
        <v>27</v>
      </c>
    </row>
    <row r="2" spans="1:2" x14ac:dyDescent="0.2">
      <c r="A2" s="16">
        <v>1</v>
      </c>
      <c r="B2" s="16" t="s">
        <v>21</v>
      </c>
    </row>
    <row r="3" spans="1:2" x14ac:dyDescent="0.2">
      <c r="A3" s="16">
        <v>2</v>
      </c>
      <c r="B3" s="16" t="s">
        <v>22</v>
      </c>
    </row>
    <row r="4" spans="1:2" x14ac:dyDescent="0.2">
      <c r="A4" s="16">
        <v>3</v>
      </c>
      <c r="B4" s="16" t="s">
        <v>23</v>
      </c>
    </row>
    <row r="5" spans="1:2" x14ac:dyDescent="0.2">
      <c r="A5" s="16">
        <v>4</v>
      </c>
      <c r="B5" s="16" t="s">
        <v>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33F8-61A8-4D86-AAD9-77B7CBE2EFB0}">
  <sheetPr codeName="Sheet6"/>
  <dimension ref="A1:B3"/>
  <sheetViews>
    <sheetView workbookViewId="0">
      <selection activeCell="D4" sqref="D4"/>
    </sheetView>
  </sheetViews>
  <sheetFormatPr defaultRowHeight="15" x14ac:dyDescent="0.25"/>
  <cols>
    <col min="1" max="1" width="5.7109375" bestFit="1" customWidth="1"/>
    <col min="2" max="2" width="12.140625" bestFit="1" customWidth="1"/>
  </cols>
  <sheetData>
    <row r="1" spans="1:2" x14ac:dyDescent="0.25">
      <c r="A1" s="17" t="s">
        <v>20</v>
      </c>
      <c r="B1" s="17" t="s">
        <v>26</v>
      </c>
    </row>
    <row r="2" spans="1:2" x14ac:dyDescent="0.25">
      <c r="A2">
        <v>1</v>
      </c>
      <c r="B2" t="s">
        <v>28</v>
      </c>
    </row>
    <row r="3" spans="1:2" x14ac:dyDescent="0.25">
      <c r="A3">
        <v>2</v>
      </c>
      <c r="B3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Calendar</vt:lpstr>
      <vt:lpstr>Activities</vt:lpstr>
      <vt:lpstr>Activities _count</vt:lpstr>
      <vt:lpstr>Calendar_cals</vt:lpstr>
      <vt:lpstr>Categories</vt:lpstr>
      <vt:lpstr>Tasks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2022-08-29T11:01:59Z</dcterms:created>
  <dcterms:modified xsi:type="dcterms:W3CDTF">2022-09-01T05:40:15Z</dcterms:modified>
</cp:coreProperties>
</file>